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Default Extension="vml" ContentType="application/vnd.openxmlformats-officedocument.vmlDrawi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metadata" ContentType="application/binary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ריכוז גדודי" sheetId="1" r:id="rId3"/>
    <sheet name=" תחמושת סוללה א" sheetId="2" r:id="rId4"/>
    <sheet name="תמחושת סוללה ב" sheetId="3" r:id="rId5"/>
    <sheet name=" יחמור ג" sheetId="4" r:id="rId6"/>
    <sheet name="קישור לגוגל פורמז - אגמי " sheetId="5" r:id="rId7"/>
    <sheet name=" - אלקוש ג" sheetId="6" state="hidden" r:id="rId8"/>
    <sheet name="צילומי מסך" sheetId="7" state="hidden" r:id="rId9"/>
    <sheet name="עותק של ריכוז גדודי" sheetId="8" r:id="rId10"/>
  </sheets>
  <definedNames>
    <definedName name="sumofGimel1" localSheetId="3">' יחמור ג'!$AA$2:$AA$25</definedName>
    <definedName name="sumofGimel1">' - אלקוש ג'!$AA$2:$AA$25</definedName>
  </definedNames>
  <calcPr calcId="0"/>
</workbook>
</file>

<file path=xl/calcChain.xml><?xml version="1.0" encoding="utf-8"?>
<calcChain xmlns="http://schemas.openxmlformats.org/spreadsheetml/2006/main">
  <c r="C3" i="1" l="1"/>
</calcChain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>
      <text>
        <r>
          <t>2-16 
======</t>
        </r>
      </text>
    </comment>
    <comment ref="B4" authorId="0">
      <text>
        <r>
          <t>24-13
======</t>
        </r>
      </text>
    </comment>
    <comment ref="B12" authorId="0">
      <text>
        <r>
          <t>2-8
======</t>
        </r>
      </text>
    </comment>
    <comment ref="B13" authorId="0">
      <text>
        <r>
          <t>7-16
======</t>
        </r>
      </text>
    </comment>
  </commentList>
</comments>
</file>

<file path=xl/sharedStrings.xml><?xml version="1.0" encoding="utf-8"?>
<sst xmlns="http://schemas.openxmlformats.org/spreadsheetml/2006/main" count="665" uniqueCount="145">
  <si>
    <t>דוח תחמושת</t>
  </si>
  <si>
    <t>סוללה א</t>
  </si>
  <si>
    <t>סוללה ב</t>
  </si>
  <si>
    <t>סוללה ג</t>
  </si>
  <si>
    <t>סוללה ד - זעורה</t>
  </si>
  <si>
    <t>סה"כ גדוד</t>
  </si>
  <si>
    <t>שצ''ל ירי</t>
  </si>
  <si>
    <t>דוח תחמושת מעודכן</t>
  </si>
  <si>
    <t>כפר גלעדי</t>
  </si>
  <si>
    <t>גומא</t>
  </si>
  <si>
    <t>יחמור</t>
  </si>
  <si>
    <t>אלקוץ</t>
  </si>
  <si>
    <t>נפיץ M107</t>
  </si>
  <si>
    <t>נפיץ M107A3 / סרבי</t>
  </si>
  <si>
    <t>נפיץ M795</t>
  </si>
  <si>
    <t>תאורה M485</t>
  </si>
  <si>
    <t>עשן M825</t>
  </si>
  <si>
    <t>דמוי נפיץ</t>
  </si>
  <si>
    <t>עשן הפלטה M150</t>
  </si>
  <si>
    <t>נפיץ ארוך טווח M401</t>
  </si>
  <si>
    <t>M999</t>
  </si>
  <si>
    <t>RTZ148</t>
  </si>
  <si>
    <t>סרבי M02P1</t>
  </si>
  <si>
    <t>M7 אחוד</t>
  </si>
  <si>
    <t>M7 פרוד</t>
  </si>
  <si>
    <t>M9</t>
  </si>
  <si>
    <t>M10</t>
  </si>
  <si>
    <t>M231</t>
  </si>
  <si>
    <t>תחלים</t>
  </si>
  <si>
    <t>תחמושת</t>
  </si>
  <si>
    <t>1א</t>
  </si>
  <si>
    <t>1ב</t>
  </si>
  <si>
    <t>1ג</t>
  </si>
  <si>
    <t>2א</t>
  </si>
  <si>
    <t>2ב</t>
  </si>
  <si>
    <t>2ג</t>
  </si>
  <si>
    <t>מפיק</t>
  </si>
  <si>
    <t>ד1ג</t>
  </si>
  <si>
    <t>ד2א</t>
  </si>
  <si>
    <t>ד2ב</t>
  </si>
  <si>
    <t>ד2ג</t>
  </si>
  <si>
    <t>רמסע 1</t>
  </si>
  <si>
    <t>רמסע 2</t>
  </si>
  <si>
    <t>רמסע 3</t>
  </si>
  <si>
    <t>רמסע 1783 הגיעה מ531</t>
  </si>
  <si>
    <t>רמסע 4</t>
  </si>
  <si>
    <t>תפזורת בונקר</t>
  </si>
  <si>
    <t>סה"כ קנים</t>
  </si>
  <si>
    <t>סה"כ בונקר</t>
  </si>
  <si>
    <t>סה"כ</t>
  </si>
  <si>
    <t>M7 אחוד 1-94/99</t>
  </si>
  <si>
    <t>M7 אחוד 1-98</t>
  </si>
  <si>
    <t>M7 אחוד 2-24</t>
  </si>
  <si>
    <t>M7 אחוד 01-24</t>
  </si>
  <si>
    <t>M7 אחוד 3-94/99</t>
  </si>
  <si>
    <t>M7 אחוד1-93/97</t>
  </si>
  <si>
    <t>M7 אחוד 2-93/97</t>
  </si>
  <si>
    <t>M7 אחוד 2-99</t>
  </si>
  <si>
    <t>M7 אחוד 68746/24</t>
  </si>
  <si>
    <t>M7 אחוד 1-24</t>
  </si>
  <si>
    <t>M7 פרוד 22/25</t>
  </si>
  <si>
    <t>פרוד D001-061</t>
  </si>
  <si>
    <t>M7 פרוד 14-25</t>
  </si>
  <si>
    <t>M7 פרוד2-94/97</t>
  </si>
  <si>
    <t>פרוד 1-98</t>
  </si>
  <si>
    <t>M9 4-99/02</t>
  </si>
  <si>
    <t>M9 5-96/84</t>
  </si>
  <si>
    <t>M9 10-99/84</t>
  </si>
  <si>
    <t>M9 5-99/85</t>
  </si>
  <si>
    <t>M9 1-09</t>
  </si>
  <si>
    <t>M9 3-99/85</t>
  </si>
  <si>
    <t>M9 2-02</t>
  </si>
  <si>
    <t>M9 3-02</t>
  </si>
  <si>
    <t>M9 2-07</t>
  </si>
  <si>
    <t>M9 1-05</t>
  </si>
  <si>
    <t>M9 3-09</t>
  </si>
  <si>
    <t>התאמות</t>
  </si>
  <si>
    <t>ברוס מאג</t>
  </si>
  <si>
    <t>582 &amp; 739</t>
  </si>
  <si>
    <t>137 &amp; 762</t>
  </si>
  <si>
    <t>חנות</t>
  </si>
  <si>
    <t>פערים</t>
  </si>
  <si>
    <t>חולץ</t>
  </si>
  <si>
    <t>בלי טבעת M825</t>
  </si>
  <si>
    <t>ד1 - 751644</t>
  </si>
  <si>
    <t>רמסע 1731</t>
  </si>
  <si>
    <t>רמסע 326</t>
  </si>
  <si>
    <t>רמסע 776</t>
  </si>
  <si>
    <t>ד2 - 757584</t>
  </si>
  <si>
    <t>ד2ג - 752048</t>
  </si>
  <si>
    <t>רמסע 1 - 30722</t>
  </si>
  <si>
    <t>רמסע 540</t>
  </si>
  <si>
    <t>רמסע 1607</t>
  </si>
  <si>
    <t>רמסע 525</t>
  </si>
  <si>
    <t>M7 אחוד 4-91/97</t>
  </si>
  <si>
    <t xml:space="preserve">M9 </t>
  </si>
  <si>
    <t>M7 אחוד 01-98</t>
  </si>
  <si>
    <t>M7 אחוד 4-91-25</t>
  </si>
  <si>
    <t>M7 אחוד 2/24</t>
  </si>
  <si>
    <t>M7אחוד 1-24</t>
  </si>
  <si>
    <t xml:space="preserve">M7 פרוד 1-93/97 </t>
  </si>
  <si>
    <t>M7 פרוד 062</t>
  </si>
  <si>
    <t>M7 פרוד22-25</t>
  </si>
  <si>
    <t>M9  4-99/02</t>
  </si>
  <si>
    <t>M9 1-07</t>
  </si>
  <si>
    <t>M9 3-99/88</t>
  </si>
  <si>
    <t>M231 - מודולרי</t>
  </si>
  <si>
    <t>758115 ד</t>
  </si>
  <si>
    <t>758134 ד</t>
  </si>
  <si>
    <t>752525 ד</t>
  </si>
  <si>
    <t xml:space="preserve">752366 ד </t>
  </si>
  <si>
    <t>רמסע 1786</t>
  </si>
  <si>
    <t>רמסע 1202</t>
  </si>
  <si>
    <t>בצד</t>
  </si>
  <si>
    <t>רמסע 211</t>
  </si>
  <si>
    <t>רמסע 300514</t>
  </si>
  <si>
    <t>M7 4-91-25 אחוד</t>
  </si>
  <si>
    <t>M7 3-91-25 אחוד</t>
  </si>
  <si>
    <t>M7 פרוד SB 22-25</t>
  </si>
  <si>
    <t>M7 פרוד 68746-94/24</t>
  </si>
  <si>
    <t>https://forms.gle/QV2RxuF8yAs11UDH9</t>
  </si>
  <si>
    <t>רמסע 1022</t>
  </si>
  <si>
    <t>רמסע 1464</t>
  </si>
  <si>
    <t>רמסע 657</t>
  </si>
  <si>
    <t>M9 7-96/84</t>
  </si>
  <si>
    <t xml:space="preserve">שצל ירידה ב </t>
  </si>
  <si>
    <t xml:space="preserve">ספור בלי ב </t>
  </si>
  <si>
    <t xml:space="preserve">ייפתח </t>
  </si>
  <si>
    <t>קרקע</t>
  </si>
  <si>
    <t>בונקר</t>
  </si>
  <si>
    <t>197?</t>
  </si>
  <si>
    <t>31?</t>
  </si>
  <si>
    <t>0?</t>
  </si>
  <si>
    <t>M5 אחוד</t>
  </si>
  <si>
    <t>לא מעודכן ירי 5.3.26</t>
  </si>
  <si>
    <t xml:space="preserve">גלעדי </t>
  </si>
  <si>
    <t xml:space="preserve">גומה </t>
  </si>
  <si>
    <t xml:space="preserve">יחמור </t>
  </si>
  <si>
    <t>ייפתח</t>
  </si>
  <si>
    <t>8.2.26</t>
  </si>
  <si>
    <t>מצרר 12</t>
  </si>
  <si>
    <t>סהכ נפיץ</t>
  </si>
  <si>
    <t xml:space="preserve">סהכ עשן </t>
  </si>
  <si>
    <t>סהכ M7</t>
  </si>
  <si>
    <t>#REF!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</si>
</sst>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3">
    <font>
      <sz val="11"/>
      <color rgb="FF000000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u val="single"/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18"/>
      <color rgb="FF000000"/>
      <name val="Arial"/>
      <family val="2"/>
    </font>
    <font>
      <sz val="11"/>
      <color rgb="FF9C0006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  <scheme val="minor"/>
    </font>
    <font>
      <u val="single"/>
      <sz val="11"/>
      <color rgb="FF0563C1"/>
      <name val="Arial"/>
      <family val="2"/>
    </font>
    <font>
      <b/>
      <sz val="11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00000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0000"/>
      </bottom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FF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9">
    <xf numFmtId="0" fontId="0" fillId="0" borderId="0" xfId="0" applyFont="1" applyAlignment="1">
      <alignment/>
    </xf>
    <xf numFmtId="0" fontId="2" fillId="0" borderId="0" xfId="0" applyFont="1"/>
    <xf numFmtId="0" fontId="3" fillId="0" borderId="0" xfId="0" applyFont="1" applyAlignment="1">
      <alignment/>
    </xf>
    <xf numFmtId="0" fontId="4" fillId="0" borderId="0" xfId="0" applyFont="1" applyAlignment="1">
      <alignment/>
    </xf>
    <xf numFmtId="0" fontId="4" fillId="0" borderId="0" xfId="0" applyFont="1" applyAlignment="1">
      <alignment/>
    </xf>
    <xf numFmtId="0" fontId="4" fillId="0" borderId="0" xfId="0" applyFont="1"/>
    <xf numFmtId="0" fontId="5" fillId="0" borderId="0" xfId="0" applyFont="1" applyAlignment="1">
      <alignment/>
    </xf>
    <xf numFmtId="0" fontId="6" fillId="0" borderId="0" xfId="0" applyFont="1" applyAlignment="1">
      <alignment/>
    </xf>
    <xf numFmtId="0" fontId="4" fillId="2" borderId="1" xfId="0" applyFont="1" applyFill="1" applyBorder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4" fillId="3" borderId="3" xfId="0" applyFont="1" applyFill="1" applyBorder="1"/>
    <xf numFmtId="0" fontId="4" fillId="0" borderId="4" xfId="0" applyFont="1" applyBorder="1"/>
    <xf numFmtId="0" fontId="4" fillId="0" borderId="1" xfId="0" applyFont="1" applyBorder="1" applyAlignment="1">
      <alignment/>
    </xf>
    <xf numFmtId="0" fontId="4" fillId="2" borderId="5" xfId="0" applyFont="1" applyBorder="1" applyAlignment="1">
      <alignment horizontal="right"/>
    </xf>
    <xf numFmtId="0" fontId="4" fillId="3" borderId="0" xfId="0" applyFont="1" applyBorder="1"/>
    <xf numFmtId="0" fontId="4" fillId="2" borderId="5" xfId="0" applyFont="1" applyBorder="1" applyAlignment="1">
      <alignment horizontal="right"/>
    </xf>
    <xf numFmtId="0" fontId="4" fillId="4" borderId="5" xfId="0" applyFont="1" applyFill="1" applyBorder="1" applyAlignment="1">
      <alignment horizontal="right"/>
    </xf>
    <xf numFmtId="0" fontId="4" fillId="4" borderId="6" xfId="0" applyFont="1" applyBorder="1" applyAlignment="1">
      <alignment horizontal="center"/>
    </xf>
    <xf numFmtId="0" fontId="4" fillId="4" borderId="6" xfId="0" applyFont="1" applyBorder="1" applyAlignment="1">
      <alignment horizontal="center"/>
    </xf>
    <xf numFmtId="0" fontId="4" fillId="4" borderId="6" xfId="0" applyFont="1" applyBorder="1" applyAlignment="1">
      <alignment horizontal="right"/>
    </xf>
    <xf numFmtId="0" fontId="4" fillId="0" borderId="4" xfId="0" applyFont="1" applyBorder="1" applyAlignment="1">
      <alignment/>
    </xf>
    <xf numFmtId="0" fontId="4" fillId="5" borderId="5" xfId="0" applyFont="1" applyFill="1" applyBorder="1" applyAlignment="1">
      <alignment horizontal="right"/>
    </xf>
    <xf numFmtId="0" fontId="4" fillId="5" borderId="5" xfId="0" applyFont="1" applyBorder="1" applyAlignment="1">
      <alignment horizontal="right"/>
    </xf>
    <xf numFmtId="0" fontId="4" fillId="6" borderId="5" xfId="0" applyFont="1" applyFill="1" applyBorder="1" applyAlignment="1">
      <alignment horizontal="center"/>
    </xf>
    <xf numFmtId="22" fontId="7" fillId="0" borderId="0" xfId="0" applyNumberFormat="1" applyFont="1" applyAlignment="1">
      <alignment horizontal="center" vertical="center"/>
    </xf>
    <xf numFmtId="0" fontId="5" fillId="7" borderId="7" xfId="0" applyFont="1" applyFill="1" applyBorder="1" applyAlignment="1">
      <alignment horizontal="right"/>
    </xf>
    <xf numFmtId="0" fontId="5" fillId="7" borderId="8" xfId="0" applyFont="1" applyBorder="1" applyAlignment="1">
      <alignment horizontal="center"/>
    </xf>
    <xf numFmtId="0" fontId="5" fillId="7" borderId="8" xfId="0" applyFont="1" applyBorder="1" applyAlignment="1">
      <alignment horizontal="center"/>
    </xf>
    <xf numFmtId="0" fontId="4" fillId="6" borderId="1" xfId="0" applyFont="1" applyBorder="1" applyAlignment="1">
      <alignment horizontal="center"/>
    </xf>
    <xf numFmtId="0" fontId="4" fillId="0" borderId="0" xfId="0" applyFont="1" applyAlignment="1">
      <alignment/>
    </xf>
    <xf numFmtId="0" fontId="4" fillId="2" borderId="6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8" borderId="9" xfId="0" applyFont="1" applyFill="1" applyBorder="1" applyAlignment="1">
      <alignment horizontal="center"/>
    </xf>
    <xf numFmtId="0" fontId="4" fillId="8" borderId="1" xfId="0" applyFont="1" applyBorder="1" applyAlignment="1">
      <alignment horizontal="center"/>
    </xf>
    <xf numFmtId="0" fontId="4" fillId="0" borderId="0" xfId="0" applyFont="1" applyAlignment="1">
      <alignment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4" fillId="2" borderId="6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/>
    </xf>
    <xf numFmtId="0" fontId="4" fillId="0" borderId="1" xfId="0" applyFont="1" applyBorder="1" applyAlignment="1">
      <alignment/>
    </xf>
    <xf numFmtId="0" fontId="4" fillId="0" borderId="0" xfId="0" applyFont="1" applyAlignment="1">
      <alignment horizontal="right"/>
    </xf>
    <xf numFmtId="0" fontId="4" fillId="4" borderId="6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3" borderId="0" xfId="0" applyFont="1" applyAlignment="1">
      <alignment horizontal="right"/>
    </xf>
    <xf numFmtId="0" fontId="4" fillId="3" borderId="1" xfId="0" applyFont="1" applyBorder="1" applyAlignment="1">
      <alignment/>
    </xf>
    <xf numFmtId="0" fontId="4" fillId="3" borderId="1" xfId="0" applyFont="1" applyBorder="1" applyAlignment="1">
      <alignment/>
    </xf>
    <xf numFmtId="0" fontId="4" fillId="3" borderId="1" xfId="0" applyFont="1" applyBorder="1" applyAlignment="1">
      <alignment horizontal="center"/>
    </xf>
    <xf numFmtId="0" fontId="5" fillId="9" borderId="1" xfId="0" applyFont="1" applyFill="1" applyBorder="1" applyAlignment="1">
      <alignment horizontal="right"/>
    </xf>
    <xf numFmtId="0" fontId="4" fillId="10" borderId="1" xfId="0" applyFont="1" applyFill="1" applyBorder="1" applyAlignment="1">
      <alignment horizontal="center"/>
    </xf>
    <xf numFmtId="0" fontId="4" fillId="10" borderId="1" xfId="0" applyFont="1" applyBorder="1" applyAlignment="1">
      <alignment horizontal="center"/>
    </xf>
    <xf numFmtId="0" fontId="4" fillId="10" borderId="1" xfId="0" applyFont="1" applyBorder="1" applyAlignment="1">
      <alignment/>
    </xf>
    <xf numFmtId="0" fontId="4" fillId="11" borderId="1" xfId="0" applyFont="1" applyFill="1" applyBorder="1" applyAlignment="1">
      <alignment horizontal="center"/>
    </xf>
    <xf numFmtId="0" fontId="4" fillId="11" borderId="1" xfId="0" applyFont="1" applyBorder="1" applyAlignment="1">
      <alignment horizontal="center"/>
    </xf>
    <xf numFmtId="0" fontId="5" fillId="10" borderId="1" xfId="0" applyFont="1" applyBorder="1" applyAlignment="1">
      <alignment horizontal="right"/>
    </xf>
    <xf numFmtId="0" fontId="4" fillId="10" borderId="1" xfId="0" applyFont="1" applyBorder="1" applyAlignment="1">
      <alignment horizontal="center"/>
    </xf>
    <xf numFmtId="0" fontId="4" fillId="10" borderId="1" xfId="0" applyFont="1" applyBorder="1" applyAlignment="1">
      <alignment horizontal="right"/>
    </xf>
    <xf numFmtId="0" fontId="4" fillId="9" borderId="1" xfId="0" applyFont="1" applyBorder="1" applyAlignment="1">
      <alignment horizontal="right"/>
    </xf>
    <xf numFmtId="0" fontId="4" fillId="10" borderId="1" xfId="0" applyFont="1" applyBorder="1" applyAlignment="1">
      <alignment horizontal="right"/>
    </xf>
    <xf numFmtId="0" fontId="4" fillId="11" borderId="1" xfId="0" applyFont="1" applyBorder="1" applyAlignment="1">
      <alignment horizontal="center"/>
    </xf>
    <xf numFmtId="0" fontId="4" fillId="3" borderId="0" xfId="0" applyFont="1" applyAlignment="1">
      <alignment horizontal="center"/>
    </xf>
    <xf numFmtId="0" fontId="4" fillId="3" borderId="0" xfId="0" applyFont="1" applyAlignment="1">
      <alignment horizontal="center"/>
    </xf>
    <xf numFmtId="0" fontId="4" fillId="3" borderId="0" xfId="0" applyFont="1" applyAlignment="1">
      <alignment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/>
    </xf>
    <xf numFmtId="0" fontId="4" fillId="5" borderId="1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/>
    </xf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12" borderId="1" xfId="0" applyFont="1" applyFill="1" applyBorder="1" applyAlignment="1">
      <alignment horizontal="right"/>
    </xf>
    <xf numFmtId="0" fontId="4" fillId="12" borderId="1" xfId="0" applyFont="1" applyBorder="1" applyAlignment="1">
      <alignment horizontal="center"/>
    </xf>
    <xf numFmtId="0" fontId="4" fillId="12" borderId="1" xfId="0" applyFont="1" applyBorder="1" applyAlignment="1">
      <alignment horizontal="center"/>
    </xf>
    <xf numFmtId="0" fontId="4" fillId="12" borderId="1" xfId="0" applyFont="1" applyBorder="1" applyAlignment="1">
      <alignment/>
    </xf>
    <xf numFmtId="0" fontId="4" fillId="10" borderId="11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/>
    </xf>
    <xf numFmtId="0" fontId="4" fillId="6" borderId="13" xfId="0" applyFont="1" applyBorder="1" applyAlignment="1">
      <alignment horizontal="right"/>
    </xf>
    <xf numFmtId="0" fontId="4" fillId="0" borderId="13" xfId="0" applyFont="1" applyBorder="1" applyAlignment="1">
      <alignment horizontal="center"/>
    </xf>
    <xf numFmtId="0" fontId="8" fillId="13" borderId="13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12" borderId="1" xfId="0" applyFont="1" applyBorder="1" applyAlignment="1">
      <alignment horizontal="center"/>
    </xf>
    <xf numFmtId="0" fontId="4" fillId="4" borderId="1" xfId="0" applyFont="1" applyBorder="1" applyAlignment="1">
      <alignment horizontal="right"/>
    </xf>
    <xf numFmtId="0" fontId="4" fillId="5" borderId="11" xfId="0" applyFont="1" applyBorder="1" applyAlignment="1">
      <alignment horizontal="right"/>
    </xf>
    <xf numFmtId="0" fontId="4" fillId="14" borderId="1" xfId="0" applyFont="1" applyFill="1" applyBorder="1" applyAlignment="1">
      <alignment horizontal="center"/>
    </xf>
    <xf numFmtId="0" fontId="4" fillId="14" borderId="1" xfId="0" applyFont="1" applyBorder="1" applyAlignment="1">
      <alignment horizontal="center"/>
    </xf>
    <xf numFmtId="0" fontId="4" fillId="14" borderId="1" xfId="0" applyFont="1" applyBorder="1" applyAlignment="1">
      <alignment horizontal="center"/>
    </xf>
    <xf numFmtId="0" fontId="4" fillId="14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7" borderId="9" xfId="0" applyFont="1" applyBorder="1" applyAlignment="1">
      <alignment horizontal="center"/>
    </xf>
    <xf numFmtId="0" fontId="9" fillId="7" borderId="14" xfId="0" applyFont="1" applyBorder="1" applyAlignment="1">
      <alignment horizontal="center"/>
    </xf>
    <xf numFmtId="0" fontId="9" fillId="15" borderId="14" xfId="0" applyFont="1" applyFill="1" applyBorder="1" applyAlignment="1">
      <alignment horizontal="center"/>
    </xf>
    <xf numFmtId="0" fontId="9" fillId="7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7" borderId="14" xfId="0" applyFont="1" applyBorder="1" applyAlignment="1">
      <alignment horizontal="center"/>
    </xf>
    <xf numFmtId="0" fontId="9" fillId="7" borderId="14" xfId="0" applyFont="1" applyBorder="1" applyAlignment="1">
      <alignment horizontal="center"/>
    </xf>
    <xf numFmtId="0" fontId="9" fillId="7" borderId="14" xfId="0" applyFont="1" applyBorder="1" applyAlignment="1">
      <alignment horizontal="center"/>
    </xf>
    <xf numFmtId="0" fontId="2" fillId="6" borderId="1" xfId="0" applyFont="1" applyBorder="1" applyAlignment="1">
      <alignment horizontal="center"/>
    </xf>
    <xf numFmtId="0" fontId="2" fillId="2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5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5" xfId="0" applyFont="1" applyBorder="1" applyAlignment="1">
      <alignment horizontal="right"/>
    </xf>
    <xf numFmtId="0" fontId="4" fillId="0" borderId="16" xfId="0" applyFont="1" applyBorder="1"/>
    <xf numFmtId="0" fontId="2" fillId="15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7" xfId="0" applyFont="1" applyBorder="1" applyAlignment="1">
      <alignment horizontal="right"/>
    </xf>
    <xf numFmtId="0" fontId="2" fillId="2" borderId="17" xfId="0" applyFont="1" applyBorder="1" applyAlignment="1">
      <alignment horizontal="right"/>
    </xf>
    <xf numFmtId="0" fontId="4" fillId="15" borderId="1" xfId="0" applyFont="1" applyBorder="1"/>
    <xf numFmtId="0" fontId="4" fillId="0" borderId="7" xfId="0" applyFont="1" applyBorder="1"/>
    <xf numFmtId="0" fontId="10" fillId="0" borderId="0" xfId="0" applyFont="1" applyAlignment="1">
      <alignment/>
    </xf>
    <xf numFmtId="0" fontId="10" fillId="15" borderId="0" xfId="0" applyFont="1" applyAlignment="1">
      <alignment/>
    </xf>
    <xf numFmtId="0" fontId="2" fillId="2" borderId="9" xfId="0" applyFont="1" applyBorder="1" applyAlignment="1">
      <alignment horizontal="center"/>
    </xf>
    <xf numFmtId="0" fontId="2" fillId="4" borderId="9" xfId="0" applyFont="1" applyBorder="1" applyAlignment="1">
      <alignment horizontal="center"/>
    </xf>
    <xf numFmtId="0" fontId="2" fillId="4" borderId="17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15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4" borderId="9" xfId="0" applyFont="1" applyBorder="1" applyAlignment="1">
      <alignment horizontal="center"/>
    </xf>
    <xf numFmtId="0" fontId="2" fillId="4" borderId="9" xfId="0" applyFont="1" applyBorder="1" applyAlignment="1">
      <alignment horizontal="center"/>
    </xf>
    <xf numFmtId="0" fontId="4" fillId="0" borderId="0" xfId="0" applyFont="1" applyAlignment="1">
      <alignment/>
    </xf>
    <xf numFmtId="0" fontId="4" fillId="15" borderId="0" xfId="0" applyFont="1"/>
    <xf numFmtId="0" fontId="2" fillId="3" borderId="0" xfId="0" applyFont="1" applyBorder="1" applyAlignment="1">
      <alignment horizontal="center"/>
    </xf>
    <xf numFmtId="0" fontId="4" fillId="3" borderId="1" xfId="0" applyFont="1" applyBorder="1"/>
    <xf numFmtId="0" fontId="2" fillId="5" borderId="17" xfId="0" applyFont="1" applyBorder="1" applyAlignment="1">
      <alignment horizontal="right" readingOrder="2"/>
    </xf>
    <xf numFmtId="0" fontId="9" fillId="9" borderId="1" xfId="0" applyFont="1" applyBorder="1" applyAlignment="1">
      <alignment horizontal="center"/>
    </xf>
    <xf numFmtId="0" fontId="2" fillId="10" borderId="1" xfId="0" applyFont="1" applyBorder="1" applyAlignment="1">
      <alignment horizontal="center"/>
    </xf>
    <xf numFmtId="0" fontId="2" fillId="10" borderId="1" xfId="0" applyFont="1" applyBorder="1" applyAlignment="1">
      <alignment horizontal="center"/>
    </xf>
    <xf numFmtId="0" fontId="2" fillId="11" borderId="1" xfId="0" applyFont="1" applyBorder="1" applyAlignment="1">
      <alignment horizontal="center"/>
    </xf>
    <xf numFmtId="0" fontId="2" fillId="10" borderId="1" xfId="0" applyFont="1" applyBorder="1" applyAlignment="1">
      <alignment/>
    </xf>
    <xf numFmtId="0" fontId="9" fillId="10" borderId="1" xfId="0" applyFont="1" applyBorder="1" applyAlignment="1">
      <alignment horizontal="center"/>
    </xf>
    <xf numFmtId="0" fontId="2" fillId="6" borderId="18" xfId="0" applyFont="1" applyBorder="1" applyAlignment="1">
      <alignment horizontal="center"/>
    </xf>
    <xf numFmtId="0" fontId="2" fillId="10" borderId="1" xfId="0" applyFont="1" applyBorder="1" applyAlignment="1">
      <alignment horizontal="center"/>
    </xf>
    <xf numFmtId="0" fontId="2" fillId="9" borderId="1" xfId="0" applyFont="1" applyBorder="1" applyAlignment="1">
      <alignment horizontal="center"/>
    </xf>
    <xf numFmtId="0" fontId="2" fillId="10" borderId="1" xfId="0" applyFont="1" applyBorder="1" applyAlignment="1">
      <alignment horizontal="left"/>
    </xf>
    <xf numFmtId="0" fontId="2" fillId="10" borderId="1" xfId="0" applyFont="1" applyBorder="1" applyAlignment="1">
      <alignment horizontal="left"/>
    </xf>
    <xf numFmtId="0" fontId="2" fillId="10" borderId="1" xfId="0" applyFont="1" applyBorder="1" applyAlignment="1">
      <alignment horizontal="left"/>
    </xf>
    <xf numFmtId="0" fontId="4" fillId="10" borderId="1" xfId="0" applyFont="1" applyBorder="1" applyAlignment="1">
      <alignment horizontal="center"/>
    </xf>
    <xf numFmtId="0" fontId="4" fillId="10" borderId="1" xfId="0" applyFont="1" applyBorder="1" applyAlignment="1">
      <alignment horizontal="center"/>
    </xf>
    <xf numFmtId="0" fontId="2" fillId="10" borderId="1" xfId="0" applyFont="1" applyBorder="1" applyAlignment="1">
      <alignment horizontal="center"/>
    </xf>
    <xf numFmtId="0" fontId="2" fillId="10" borderId="1" xfId="0" applyFont="1" applyBorder="1" applyAlignment="1">
      <alignment horizontal="center"/>
    </xf>
    <xf numFmtId="0" fontId="2" fillId="15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0" xfId="0" applyFont="1" applyBorder="1" applyAlignment="1">
      <alignment/>
    </xf>
    <xf numFmtId="0" fontId="2" fillId="5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15" borderId="5" xfId="0" applyFont="1" applyBorder="1" applyAlignment="1">
      <alignment horizontal="center"/>
    </xf>
    <xf numFmtId="0" fontId="2" fillId="0" borderId="5" xfId="0" applyFont="1" applyBorder="1" applyAlignment="1">
      <alignment/>
    </xf>
    <xf numFmtId="0" fontId="2" fillId="5" borderId="1" xfId="0" applyFont="1" applyBorder="1" applyAlignment="1">
      <alignment horizontal="center"/>
    </xf>
    <xf numFmtId="0" fontId="2" fillId="0" borderId="1" xfId="0" applyFont="1" applyBorder="1" applyAlignment="1">
      <alignment/>
    </xf>
    <xf numFmtId="0" fontId="2" fillId="0" borderId="1" xfId="0" applyFont="1" applyBorder="1" applyAlignment="1">
      <alignment horizontal="center"/>
    </xf>
    <xf numFmtId="0" fontId="2" fillId="5" borderId="1" xfId="0" applyFont="1" applyBorder="1" applyAlignment="1">
      <alignment horizontal="center"/>
    </xf>
    <xf numFmtId="0" fontId="2" fillId="12" borderId="1" xfId="0" applyFont="1" applyBorder="1" applyAlignment="1">
      <alignment horizontal="center"/>
    </xf>
    <xf numFmtId="0" fontId="2" fillId="12" borderId="1" xfId="0" applyFont="1" applyBorder="1" applyAlignment="1">
      <alignment/>
    </xf>
    <xf numFmtId="0" fontId="10" fillId="0" borderId="0" xfId="0" applyFont="1" applyAlignment="1">
      <alignment/>
    </xf>
    <xf numFmtId="0" fontId="2" fillId="6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15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12" borderId="1" xfId="0" applyFont="1" applyBorder="1" applyAlignment="1">
      <alignment horizontal="center"/>
    </xf>
    <xf numFmtId="0" fontId="2" fillId="4" borderId="1" xfId="0" applyFont="1" applyBorder="1" applyAlignment="1">
      <alignment horizontal="center"/>
    </xf>
    <xf numFmtId="0" fontId="2" fillId="5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15" borderId="1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2" borderId="1" xfId="0" applyFont="1" applyBorder="1" applyAlignment="1">
      <alignment horizontal="center"/>
    </xf>
    <xf numFmtId="0" fontId="9" fillId="7" borderId="14" xfId="0" applyFont="1" applyBorder="1" applyAlignment="1">
      <alignment horizontal="center"/>
    </xf>
    <xf numFmtId="0" fontId="9" fillId="7" borderId="14" xfId="0" applyFont="1" applyBorder="1" applyAlignment="1">
      <alignment horizontal="center"/>
    </xf>
    <xf numFmtId="0" fontId="4" fillId="0" borderId="19" xfId="0" applyFont="1" applyBorder="1"/>
    <xf numFmtId="0" fontId="10" fillId="0" borderId="0" xfId="0" applyFont="1" applyAlignment="1">
      <alignment horizontal="center"/>
    </xf>
    <xf numFmtId="0" fontId="2" fillId="4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10" borderId="1" xfId="0" applyFont="1" applyBorder="1"/>
    <xf numFmtId="0" fontId="4" fillId="0" borderId="20" xfId="0" applyFont="1" applyBorder="1"/>
    <xf numFmtId="0" fontId="2" fillId="9" borderId="1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9" fillId="9" borderId="1" xfId="0" applyFont="1" applyBorder="1" applyAlignment="1">
      <alignment horizontal="center"/>
    </xf>
    <xf numFmtId="0" fontId="12" fillId="0" borderId="0" xfId="0" applyFont="1"/>
    <xf numFmtId="0" fontId="10" fillId="0" borderId="0" xfId="0" applyFont="1"/>
    <xf numFmtId="0" fontId="10" fillId="0" borderId="14" xfId="0" applyFont="1" applyBorder="1"/>
    <xf numFmtId="0" fontId="10" fillId="0" borderId="21" xfId="0" applyFont="1" applyBorder="1"/>
    <xf numFmtId="0" fontId="10" fillId="0" borderId="8" xfId="0" applyFont="1" applyBorder="1"/>
    <xf numFmtId="0" fontId="10" fillId="0" borderId="12" xfId="0" applyFont="1" applyBorder="1" applyAlignment="1">
      <alignment/>
    </xf>
    <xf numFmtId="0" fontId="10" fillId="0" borderId="22" xfId="0" applyFont="1" applyBorder="1" applyAlignment="1">
      <alignment/>
    </xf>
    <xf numFmtId="0" fontId="4" fillId="2" borderId="1" xfId="0" applyFont="1" applyBorder="1" applyAlignment="1">
      <alignment horizontal="right"/>
    </xf>
    <xf numFmtId="0" fontId="10" fillId="0" borderId="1" xfId="0" applyFont="1" applyBorder="1"/>
    <xf numFmtId="0" fontId="10" fillId="0" borderId="0" xfId="0" applyFont="1" applyAlignment="1">
      <alignment/>
    </xf>
    <xf numFmtId="0" fontId="10" fillId="0" borderId="0" xfId="0" applyFont="1"/>
    <xf numFmtId="0" fontId="10" fillId="0" borderId="22" xfId="0" applyFont="1" applyBorder="1" applyAlignment="1">
      <alignment/>
    </xf>
    <xf numFmtId="0" fontId="10" fillId="0" borderId="0" xfId="0" applyFont="1"/>
    <xf numFmtId="0" fontId="10" fillId="0" borderId="0" xfId="0" applyFont="1"/>
    <xf numFmtId="0" fontId="4" fillId="2" borderId="5" xfId="0" applyFont="1" applyBorder="1" applyAlignment="1">
      <alignment horizontal="right"/>
    </xf>
    <xf numFmtId="0" fontId="10" fillId="0" borderId="1" xfId="0" applyFont="1" applyBorder="1" applyAlignment="1">
      <alignment/>
    </xf>
    <xf numFmtId="0" fontId="4" fillId="4" borderId="5" xfId="0" applyFont="1" applyBorder="1" applyAlignment="1">
      <alignment horizontal="right"/>
    </xf>
    <xf numFmtId="0" fontId="4" fillId="4" borderId="6" xfId="0" applyFont="1" applyBorder="1" applyAlignment="1">
      <alignment horizontal="center"/>
    </xf>
    <xf numFmtId="0" fontId="4" fillId="4" borderId="5" xfId="0" applyFont="1" applyBorder="1" applyAlignment="1">
      <alignment horizontal="center"/>
    </xf>
    <xf numFmtId="0" fontId="4" fillId="4" borderId="5" xfId="0" applyFont="1" applyBorder="1" applyAlignment="1">
      <alignment horizontal="center"/>
    </xf>
    <xf numFmtId="0" fontId="4" fillId="4" borderId="6" xfId="0" applyFont="1" applyBorder="1" applyAlignment="1">
      <alignment horizontal="right"/>
    </xf>
    <xf numFmtId="0" fontId="4" fillId="5" borderId="5" xfId="0" applyFont="1" applyBorder="1" applyAlignment="1">
      <alignment horizontal="right"/>
    </xf>
    <xf numFmtId="0" fontId="10" fillId="0" borderId="0" xfId="0" applyFont="1" applyAlignment="1">
      <alignment/>
    </xf>
    <xf numFmtId="0" fontId="4" fillId="6" borderId="5" xfId="0" applyFont="1" applyBorder="1" applyAlignment="1">
      <alignment horizontal="center"/>
    </xf>
    <xf numFmtId="0" fontId="10" fillId="0" borderId="12" xfId="0" applyFont="1" applyBorder="1" applyAlignment="1">
      <alignment/>
    </xf>
    <xf numFmtId="22" fontId="7" fillId="0" borderId="0" xfId="0" applyNumberFormat="1" applyFont="1" applyAlignment="1">
      <alignment horizontal="center" vertical="center"/>
    </xf>
    <xf numFmtId="0" fontId="10" fillId="0" borderId="12" xfId="0" applyFont="1" applyBorder="1"/>
    <xf numFmtId="0" fontId="10" fillId="0" borderId="22" xfId="0" applyFont="1" applyBorder="1"/>
    <xf numFmtId="164" fontId="3" fillId="0" borderId="10" xfId="0" applyNumberFormat="1" applyFont="1" applyBorder="1" applyAlignment="1">
      <alignment/>
    </xf>
    <xf numFmtId="0" fontId="12" fillId="0" borderId="23" xfId="0" applyFont="1" applyBorder="1" applyAlignment="1">
      <alignment/>
    </xf>
    <xf numFmtId="0" fontId="10" fillId="0" borderId="23" xfId="0" applyFont="1" applyBorder="1"/>
    <xf numFmtId="0" fontId="10" fillId="0" borderId="6" xfId="0" applyFont="1" applyBorder="1"/>
    <xf numFmtId="0" fontId="10" fillId="0" borderId="24" xfId="0" applyFont="1" applyBorder="1"/>
    <xf numFmtId="0" fontId="10" fillId="0" borderId="25" xfId="0" applyFont="1" applyBorder="1" applyAlignment="1">
      <alignment/>
    </xf>
    <xf numFmtId="0" fontId="10" fillId="0" borderId="26" xfId="0" applyFont="1" applyBorder="1" applyAlignment="1">
      <alignment/>
    </xf>
    <xf numFmtId="0" fontId="4" fillId="2" borderId="27" xfId="0" applyFont="1" applyBorder="1" applyAlignment="1">
      <alignment horizontal="right"/>
    </xf>
    <xf numFmtId="0" fontId="10" fillId="0" borderId="1" xfId="0" applyFont="1" applyBorder="1"/>
    <xf numFmtId="0" fontId="10" fillId="0" borderId="1" xfId="0" applyFont="1" applyBorder="1"/>
    <xf numFmtId="0" fontId="10" fillId="0" borderId="28" xfId="0" applyFont="1" applyBorder="1" applyAlignment="1">
      <alignment/>
    </xf>
    <xf numFmtId="0" fontId="10" fillId="0" borderId="0" xfId="0" applyFont="1" applyAlignment="1">
      <alignment/>
    </xf>
    <xf numFmtId="0" fontId="4" fillId="2" borderId="27" xfId="0" applyFont="1" applyBorder="1" applyAlignment="1">
      <alignment horizontal="right"/>
    </xf>
    <xf numFmtId="0" fontId="10" fillId="0" borderId="28" xfId="0" applyFont="1" applyBorder="1" applyAlignment="1">
      <alignment/>
    </xf>
    <xf numFmtId="0" fontId="4" fillId="4" borderId="27" xfId="0" applyFont="1" applyBorder="1" applyAlignment="1">
      <alignment horizontal="right"/>
    </xf>
    <xf numFmtId="0" fontId="4" fillId="4" borderId="27" xfId="0" applyFont="1" applyBorder="1" applyAlignment="1">
      <alignment horizontal="center"/>
    </xf>
    <xf numFmtId="0" fontId="4" fillId="4" borderId="27" xfId="0" applyFont="1" applyBorder="1" applyAlignment="1">
      <alignment horizontal="center"/>
    </xf>
    <xf numFmtId="0" fontId="4" fillId="5" borderId="27" xfId="0" applyFont="1" applyBorder="1" applyAlignment="1">
      <alignment horizontal="right"/>
    </xf>
    <xf numFmtId="0" fontId="4" fillId="5" borderId="27" xfId="0" applyFont="1" applyBorder="1" applyAlignment="1">
      <alignment horizontal="right"/>
    </xf>
    <xf numFmtId="0" fontId="10" fillId="0" borderId="1" xfId="0" applyFont="1" applyBorder="1" applyAlignment="1">
      <alignment/>
    </xf>
    <xf numFmtId="0" fontId="4" fillId="6" borderId="29" xfId="0" applyFont="1" applyBorder="1" applyAlignment="1">
      <alignment horizontal="center"/>
    </xf>
    <xf numFmtId="0" fontId="10" fillId="0" borderId="30" xfId="0" applyFont="1" applyBorder="1" applyAlignment="1">
      <alignment/>
    </xf>
    <xf numFmtId="0" fontId="10" fillId="0" borderId="30" xfId="0" applyFont="1" applyBorder="1"/>
    <xf numFmtId="0" fontId="10" fillId="0" borderId="31" xfId="0" applyFont="1" applyBorder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9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theme="1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FEFEF"/>
          <bgColor rgb="FFEFEFEF"/>
        </patternFill>
      </fill>
    </dxf>
  </dxfs>
  <tableStyles count="3">
    <tableStyle name="עותק של ריכוז גדודי-style" pivot="0" table="0" count="3">
      <tableStyleElement type="headerRow" dxfId="5"/>
      <tableStyleElement type="firstRowStripe" dxfId="6"/>
      <tableStyleElement type="secondRowStripe" dxfId="7"/>
    </tableStyle>
    <tableStyle name="עותק של ריכוז גדודי-style 2" pivot="0" table="0" count="3">
      <tableStyleElement type="headerRow" dxfId="5"/>
      <tableStyleElement type="firstRowStripe" dxfId="6"/>
      <tableStyleElement type="secondRowStripe" dxfId="7"/>
    </tableStyle>
    <tableStyle name="עותק של ריכוז גדודי-style 3" pivot="0" table="0" count="3">
      <tableStyleElement type="headerRow" dxfId="5"/>
      <tableStyleElement type="firstRowStripe" dxfId="8"/>
      <tableStyleElement type="secondRow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2" Type="http://schemas.openxmlformats.org/officeDocument/2006/relationships/calcChain" Target="calcChain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9" Type="http://schemas.openxmlformats.org/officeDocument/2006/relationships/image" Target="../media/image5.png" /><Relationship Id="rId5" Type="http://schemas.openxmlformats.org/officeDocument/2006/relationships/image" Target="../media/image6.png" /><Relationship Id="rId6" Type="http://schemas.openxmlformats.org/officeDocument/2006/relationships/image" Target="../media/image7.png" /><Relationship Id="rId7" Type="http://schemas.openxmlformats.org/officeDocument/2006/relationships/image" Target="../media/image8.png" /><Relationship Id="rId8" Type="http://schemas.openxmlformats.org/officeDocument/2006/relationships/image" Target="../media/image9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Relationship Id="rId2" Type="http://schemas.openxmlformats.org/officeDocument/2006/relationships/image" Target="../media/image11.png" /><Relationship Id="rId3" Type="http://schemas.openxmlformats.org/officeDocument/2006/relationships/image" Target="../media/image12.png" /><Relationship Id="rId4" Type="http://schemas.openxmlformats.org/officeDocument/2006/relationships/image" Target="../media/image13.png" /><Relationship Id="rId5" Type="http://schemas.openxmlformats.org/officeDocument/2006/relationships/image" Target="../media/image14.png" /><Relationship Id="rId6" Type="http://schemas.openxmlformats.org/officeDocument/2006/relationships/image" Target="../media/image15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9" Type="http://schemas.openxmlformats.org/officeDocument/2006/relationships/image" Target="../media/image5.png" /><Relationship Id="rId5" Type="http://schemas.openxmlformats.org/officeDocument/2006/relationships/image" Target="../media/image6.png" /><Relationship Id="rId6" Type="http://schemas.openxmlformats.org/officeDocument/2006/relationships/image" Target="../media/image7.png" /><Relationship Id="rId7" Type="http://schemas.openxmlformats.org/officeDocument/2006/relationships/image" Target="../media/image8.png" /><Relationship Id="rId8" Type="http://schemas.openxmlformats.org/officeDocument/2006/relationships/image" Target="../media/image9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1</xdr:col>
      <xdr:colOff>0</xdr:colOff>
      <xdr:row>224</xdr:row>
      <xdr:rowOff>0</xdr:rowOff>
    </xdr:from>
    <xdr:ext cx="4876800" cy="5095875"/>
    <xdr:pic>
      <xdr:nvPicPr>
        <xdr:cNvPr id="0" name="image8.png" title="תמונה">
          <a:extLst>
            <a:ext uri="{FF2B5EF4-FFF2-40B4-BE49-F238E27FC236}">
              <a16:creationId xmlns:a16="http://schemas.microsoft.com/office/drawing/2014/main" id="{0e5462cc-478c-4176-b518-1952b79d424b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38404800"/>
          <a:ext cx="4876800" cy="5095875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254</xdr:row>
      <xdr:rowOff>0</xdr:rowOff>
    </xdr:from>
    <xdr:ext cx="5038725" cy="4762500"/>
    <xdr:pic>
      <xdr:nvPicPr>
        <xdr:cNvPr id="0" name="image6.png" title="תמונה">
          <a:extLst>
            <a:ext uri="{FF2B5EF4-FFF2-40B4-BE49-F238E27FC236}">
              <a16:creationId xmlns:a16="http://schemas.microsoft.com/office/drawing/2014/main" id="{679486d4-ae46-45e2-88c5-a97ed232ff4b}"/>
            </a:ext>
          </a:extLst>
        </xdr:cNvPr>
        <xdr:cNvPicPr preferRelativeResize="0"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7225" y="43548300"/>
          <a:ext cx="5038725" cy="476250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284</xdr:row>
      <xdr:rowOff>0</xdr:rowOff>
    </xdr:from>
    <xdr:ext cx="4876800" cy="4819650"/>
    <xdr:pic>
      <xdr:nvPicPr>
        <xdr:cNvPr id="0" name="image2.png" title="תמונה">
          <a:extLst>
            <a:ext uri="{FF2B5EF4-FFF2-40B4-BE49-F238E27FC236}">
              <a16:creationId xmlns:a16="http://schemas.microsoft.com/office/drawing/2014/main" id="{985fc2ea-9f43-42a0-8f25-3f512055d09f}"/>
            </a:ext>
          </a:extLst>
        </xdr:cNvPr>
        <xdr:cNvPicPr preferRelativeResize="0"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7225" y="48691800"/>
          <a:ext cx="4876800" cy="481965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314</xdr:row>
      <xdr:rowOff>0</xdr:rowOff>
    </xdr:from>
    <xdr:ext cx="4876800" cy="4762500"/>
    <xdr:pic>
      <xdr:nvPicPr>
        <xdr:cNvPr id="0" name="image3.png" title="תמונה">
          <a:extLst>
            <a:ext uri="{FF2B5EF4-FFF2-40B4-BE49-F238E27FC236}">
              <a16:creationId xmlns:a16="http://schemas.microsoft.com/office/drawing/2014/main" id="{8a15ea9e-72e3-4940-a641-52d1585b40d2}"/>
            </a:ext>
          </a:extLst>
        </xdr:cNvPr>
        <xdr:cNvPicPr preferRelativeResize="0"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57225" y="53835300"/>
          <a:ext cx="4876800" cy="476250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343</xdr:row>
      <xdr:rowOff>0</xdr:rowOff>
    </xdr:from>
    <xdr:ext cx="4876800" cy="4724400"/>
    <xdr:pic>
      <xdr:nvPicPr>
        <xdr:cNvPr id="0" name="image7.png" title="תמונה">
          <a:extLst>
            <a:ext uri="{FF2B5EF4-FFF2-40B4-BE49-F238E27FC236}">
              <a16:creationId xmlns:a16="http://schemas.microsoft.com/office/drawing/2014/main" id="{b40db1fb-45aa-4a69-b77c-cfee4eb49dcf}"/>
            </a:ext>
          </a:extLst>
        </xdr:cNvPr>
        <xdr:cNvPicPr preferRelativeResize="0"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7225" y="58807350"/>
          <a:ext cx="4876800" cy="472440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371</xdr:row>
      <xdr:rowOff>0</xdr:rowOff>
    </xdr:from>
    <xdr:ext cx="4876800" cy="4533900"/>
    <xdr:pic>
      <xdr:nvPicPr>
        <xdr:cNvPr id="0" name="image5.png" title="תמונה">
          <a:extLst>
            <a:ext uri="{FF2B5EF4-FFF2-40B4-BE49-F238E27FC236}">
              <a16:creationId xmlns:a16="http://schemas.microsoft.com/office/drawing/2014/main" id="{0269eba0-2606-40ad-bacf-dc95c766293a}"/>
            </a:ext>
          </a:extLst>
        </xdr:cNvPr>
        <xdr:cNvPicPr preferRelativeResize="0"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7225" y="63607950"/>
          <a:ext cx="4876800" cy="453390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399</xdr:row>
      <xdr:rowOff>0</xdr:rowOff>
    </xdr:from>
    <xdr:ext cx="4600575" cy="5133975"/>
    <xdr:pic>
      <xdr:nvPicPr>
        <xdr:cNvPr id="0" name="image4.png" title="תמונה">
          <a:extLst>
            <a:ext uri="{FF2B5EF4-FFF2-40B4-BE49-F238E27FC236}">
              <a16:creationId xmlns:a16="http://schemas.microsoft.com/office/drawing/2014/main" id="{ad35327e-b072-47a7-9fde-527fe7fee492}"/>
            </a:ext>
          </a:extLst>
        </xdr:cNvPr>
        <xdr:cNvPicPr preferRelativeResize="0"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57225" y="68408550"/>
          <a:ext cx="4600575" cy="5133975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429</xdr:row>
      <xdr:rowOff>0</xdr:rowOff>
    </xdr:from>
    <xdr:ext cx="7762875" cy="2219325"/>
    <xdr:pic>
      <xdr:nvPicPr>
        <xdr:cNvPr id="0" name="image9.png" title="תמונה">
          <a:extLst>
            <a:ext uri="{FF2B5EF4-FFF2-40B4-BE49-F238E27FC236}">
              <a16:creationId xmlns:a16="http://schemas.microsoft.com/office/drawing/2014/main" id="{97896965-b15d-46c1-a1c4-df7bcbe0bb76}"/>
            </a:ext>
          </a:extLst>
        </xdr:cNvPr>
        <xdr:cNvPicPr preferRelativeResize="0"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57225" y="73552050"/>
          <a:ext cx="7762875" cy="2219325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443</xdr:row>
      <xdr:rowOff>0</xdr:rowOff>
    </xdr:from>
    <xdr:ext cx="4876800" cy="4724400"/>
    <xdr:pic>
      <xdr:nvPicPr>
        <xdr:cNvPr id="0" name="image1.png" title="תמונה">
          <a:extLst>
            <a:ext uri="{FF2B5EF4-FFF2-40B4-BE49-F238E27FC236}">
              <a16:creationId xmlns:a16="http://schemas.microsoft.com/office/drawing/2014/main" id="{0e65573d-895d-4843-b422-0a7d9c110c7d}"/>
            </a:ext>
          </a:extLst>
        </xdr:cNvPr>
        <xdr:cNvPicPr preferRelativeResize="0"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57225" y="75952350"/>
          <a:ext cx="4876800" cy="4724400"/>
        </a:xfrm>
        <a:prstGeom prst="rect"/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4391025" cy="3943350"/>
    <xdr:pic>
      <xdr:nvPicPr>
        <xdr:cNvPr id="0" name="image13.png" title="Image">
          <a:extLst>
            <a:ext uri="{FF2B5EF4-FFF2-40B4-BE49-F238E27FC236}">
              <a16:creationId xmlns:a16="http://schemas.microsoft.com/office/drawing/2014/main" id="{6dc58c3a-f186-437b-a8fb-ea92c9aa5618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391025" cy="3943350"/>
        </a:xfrm>
        <a:prstGeom prst="rect"/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4229100" cy="4029075"/>
    <xdr:pic>
      <xdr:nvPicPr>
        <xdr:cNvPr id="0" name="image14.png" title="Image">
          <a:extLst>
            <a:ext uri="{FF2B5EF4-FFF2-40B4-BE49-F238E27FC236}">
              <a16:creationId xmlns:a16="http://schemas.microsoft.com/office/drawing/2014/main" id="{da5a7969-1fd3-4f7f-adc4-6106dca25c93}"/>
            </a:ext>
          </a:extLst>
        </xdr:cNvPr>
        <xdr:cNvPicPr preferRelativeResize="0"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72150" y="381000"/>
          <a:ext cx="4229100" cy="4029075"/>
        </a:xfrm>
        <a:prstGeom prst="rect"/>
        <a:noFill/>
      </xdr:spPr>
    </xdr:pic>
    <xdr:clientData fLocksWithSheet="0"/>
  </xdr:oneCellAnchor>
  <xdr:oneCellAnchor>
    <xdr:from>
      <xdr:col>0</xdr:col>
      <xdr:colOff>152400</xdr:colOff>
      <xdr:row>26</xdr:row>
      <xdr:rowOff>190500</xdr:rowOff>
    </xdr:from>
    <xdr:ext cx="4876800" cy="5124450"/>
    <xdr:pic>
      <xdr:nvPicPr>
        <xdr:cNvPr id="0" name="image15.png" title="Image">
          <a:extLst>
            <a:ext uri="{FF2B5EF4-FFF2-40B4-BE49-F238E27FC236}">
              <a16:creationId xmlns:a16="http://schemas.microsoft.com/office/drawing/2014/main" id="{ad8af64d-4998-41ba-8921-9723612968ef}"/>
            </a:ext>
          </a:extLst>
        </xdr:cNvPr>
        <xdr:cNvPicPr preferRelativeResize="0"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2400" y="5143500"/>
          <a:ext cx="4876800" cy="5124450"/>
        </a:xfrm>
        <a:prstGeom prst="rect"/>
        <a:noFill/>
      </xdr:spPr>
    </xdr:pic>
    <xdr:clientData fLocksWithSheet="0"/>
  </xdr:oneCellAnchor>
  <xdr:oneCellAnchor>
    <xdr:from>
      <xdr:col>6</xdr:col>
      <xdr:colOff>581025</xdr:colOff>
      <xdr:row>30</xdr:row>
      <xdr:rowOff>57150</xdr:rowOff>
    </xdr:from>
    <xdr:ext cx="4876800" cy="5238750"/>
    <xdr:pic>
      <xdr:nvPicPr>
        <xdr:cNvPr id="0" name="image10.png" title="Image">
          <a:extLst>
            <a:ext uri="{FF2B5EF4-FFF2-40B4-BE49-F238E27FC236}">
              <a16:creationId xmlns:a16="http://schemas.microsoft.com/office/drawing/2014/main" id="{cbc5ebcb-4bcf-4bc3-b807-6ec073000b30}"/>
            </a:ext>
          </a:extLst>
        </xdr:cNvPr>
        <xdr:cNvPicPr preferRelativeResize="0"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3175" y="5772150"/>
          <a:ext cx="4876800" cy="5238750"/>
        </a:xfrm>
        <a:prstGeom prst="rect"/>
        <a:noFill/>
      </xdr:spPr>
    </xdr:pic>
    <xdr:clientData fLocksWithSheet="0"/>
  </xdr:oneCellAnchor>
  <xdr:oneCellAnchor>
    <xdr:from>
      <xdr:col>11</xdr:col>
      <xdr:colOff>228600</xdr:colOff>
      <xdr:row>0</xdr:row>
      <xdr:rowOff>0</xdr:rowOff>
    </xdr:from>
    <xdr:ext cx="4324350" cy="5610225"/>
    <xdr:pic>
      <xdr:nvPicPr>
        <xdr:cNvPr id="0" name="image12.png" title="Image">
          <a:extLst>
            <a:ext uri="{FF2B5EF4-FFF2-40B4-BE49-F238E27FC236}">
              <a16:creationId xmlns:a16="http://schemas.microsoft.com/office/drawing/2014/main" id="{33f03373-c3d2-445b-a32e-882fdec125a6}"/>
            </a:ext>
          </a:extLst>
        </xdr:cNvPr>
        <xdr:cNvPicPr preferRelativeResize="0"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810875" y="0"/>
          <a:ext cx="4324350" cy="5610225"/>
        </a:xfrm>
        <a:prstGeom prst="rect"/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4876800" cy="4695825"/>
    <xdr:pic>
      <xdr:nvPicPr>
        <xdr:cNvPr id="0" name="image11.png" title="Image">
          <a:extLst>
            <a:ext uri="{FF2B5EF4-FFF2-40B4-BE49-F238E27FC236}">
              <a16:creationId xmlns:a16="http://schemas.microsoft.com/office/drawing/2014/main" id="{08ac16e9-1897-4253-b587-975b7a707c45}"/>
            </a:ext>
          </a:extLst>
        </xdr:cNvPr>
        <xdr:cNvPicPr preferRelativeResize="0"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354425" y="0"/>
          <a:ext cx="4876800" cy="4695825"/>
        </a:xfrm>
        <a:prstGeom prst="rect"/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1</xdr:col>
      <xdr:colOff>0</xdr:colOff>
      <xdr:row>224</xdr:row>
      <xdr:rowOff>0</xdr:rowOff>
    </xdr:from>
    <xdr:ext cx="4876800" cy="5095875"/>
    <xdr:pic>
      <xdr:nvPicPr>
        <xdr:cNvPr id="0" name="image8.png" title="תמונה">
          <a:extLst>
            <a:ext uri="{FF2B5EF4-FFF2-40B4-BE49-F238E27FC236}">
              <a16:creationId xmlns:a16="http://schemas.microsoft.com/office/drawing/2014/main" id="{41754909-3dc4-4e2f-90ee-3c83fea53e34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38404800"/>
          <a:ext cx="4876800" cy="5095875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254</xdr:row>
      <xdr:rowOff>0</xdr:rowOff>
    </xdr:from>
    <xdr:ext cx="5038725" cy="4762500"/>
    <xdr:pic>
      <xdr:nvPicPr>
        <xdr:cNvPr id="0" name="image6.png" title="תמונה">
          <a:extLst>
            <a:ext uri="{FF2B5EF4-FFF2-40B4-BE49-F238E27FC236}">
              <a16:creationId xmlns:a16="http://schemas.microsoft.com/office/drawing/2014/main" id="{723dc063-e513-4472-ab21-826625102d35}"/>
            </a:ext>
          </a:extLst>
        </xdr:cNvPr>
        <xdr:cNvPicPr preferRelativeResize="0"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7225" y="43548300"/>
          <a:ext cx="5038725" cy="476250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284</xdr:row>
      <xdr:rowOff>0</xdr:rowOff>
    </xdr:from>
    <xdr:ext cx="4876800" cy="4819650"/>
    <xdr:pic>
      <xdr:nvPicPr>
        <xdr:cNvPr id="0" name="image2.png" title="תמונה">
          <a:extLst>
            <a:ext uri="{FF2B5EF4-FFF2-40B4-BE49-F238E27FC236}">
              <a16:creationId xmlns:a16="http://schemas.microsoft.com/office/drawing/2014/main" id="{ae220a6e-b830-41ab-8afd-3aa4703d81bd}"/>
            </a:ext>
          </a:extLst>
        </xdr:cNvPr>
        <xdr:cNvPicPr preferRelativeResize="0"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7225" y="48691800"/>
          <a:ext cx="4876800" cy="481965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314</xdr:row>
      <xdr:rowOff>0</xdr:rowOff>
    </xdr:from>
    <xdr:ext cx="4876800" cy="4762500"/>
    <xdr:pic>
      <xdr:nvPicPr>
        <xdr:cNvPr id="0" name="image3.png" title="תמונה">
          <a:extLst>
            <a:ext uri="{FF2B5EF4-FFF2-40B4-BE49-F238E27FC236}">
              <a16:creationId xmlns:a16="http://schemas.microsoft.com/office/drawing/2014/main" id="{f52d5190-6b5b-48c2-b4d1-6421d94a4494}"/>
            </a:ext>
          </a:extLst>
        </xdr:cNvPr>
        <xdr:cNvPicPr preferRelativeResize="0"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57225" y="53835300"/>
          <a:ext cx="4876800" cy="476250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343</xdr:row>
      <xdr:rowOff>0</xdr:rowOff>
    </xdr:from>
    <xdr:ext cx="4876800" cy="4724400"/>
    <xdr:pic>
      <xdr:nvPicPr>
        <xdr:cNvPr id="0" name="image7.png" title="תמונה">
          <a:extLst>
            <a:ext uri="{FF2B5EF4-FFF2-40B4-BE49-F238E27FC236}">
              <a16:creationId xmlns:a16="http://schemas.microsoft.com/office/drawing/2014/main" id="{de5c6b81-09c9-40f9-958b-870e0b940f40}"/>
            </a:ext>
          </a:extLst>
        </xdr:cNvPr>
        <xdr:cNvPicPr preferRelativeResize="0"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7225" y="58807350"/>
          <a:ext cx="4876800" cy="472440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371</xdr:row>
      <xdr:rowOff>0</xdr:rowOff>
    </xdr:from>
    <xdr:ext cx="4876800" cy="4533900"/>
    <xdr:pic>
      <xdr:nvPicPr>
        <xdr:cNvPr id="0" name="image5.png" title="תמונה">
          <a:extLst>
            <a:ext uri="{FF2B5EF4-FFF2-40B4-BE49-F238E27FC236}">
              <a16:creationId xmlns:a16="http://schemas.microsoft.com/office/drawing/2014/main" id="{b7e493b2-c9c3-46d7-a1e9-2f54a260fd6a}"/>
            </a:ext>
          </a:extLst>
        </xdr:cNvPr>
        <xdr:cNvPicPr preferRelativeResize="0"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7225" y="63607950"/>
          <a:ext cx="4876800" cy="4533900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399</xdr:row>
      <xdr:rowOff>0</xdr:rowOff>
    </xdr:from>
    <xdr:ext cx="4600575" cy="5133975"/>
    <xdr:pic>
      <xdr:nvPicPr>
        <xdr:cNvPr id="0" name="image4.png" title="תמונה">
          <a:extLst>
            <a:ext uri="{FF2B5EF4-FFF2-40B4-BE49-F238E27FC236}">
              <a16:creationId xmlns:a16="http://schemas.microsoft.com/office/drawing/2014/main" id="{9bf47424-64a2-4aca-980c-7ed41fc8f1f3}"/>
            </a:ext>
          </a:extLst>
        </xdr:cNvPr>
        <xdr:cNvPicPr preferRelativeResize="0"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57225" y="68408550"/>
          <a:ext cx="4600575" cy="5133975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429</xdr:row>
      <xdr:rowOff>0</xdr:rowOff>
    </xdr:from>
    <xdr:ext cx="7762875" cy="2219325"/>
    <xdr:pic>
      <xdr:nvPicPr>
        <xdr:cNvPr id="0" name="image9.png" title="תמונה">
          <a:extLst>
            <a:ext uri="{FF2B5EF4-FFF2-40B4-BE49-F238E27FC236}">
              <a16:creationId xmlns:a16="http://schemas.microsoft.com/office/drawing/2014/main" id="{063b7633-f4cd-458f-91af-1ccc075cc94b}"/>
            </a:ext>
          </a:extLst>
        </xdr:cNvPr>
        <xdr:cNvPicPr preferRelativeResize="0"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57225" y="73552050"/>
          <a:ext cx="7762875" cy="2219325"/>
        </a:xfrm>
        <a:prstGeom prst="rect"/>
        <a:noFill/>
      </xdr:spPr>
    </xdr:pic>
    <xdr:clientData fLocksWithSheet="0"/>
  </xdr:oneCellAnchor>
  <xdr:oneCellAnchor>
    <xdr:from>
      <xdr:col>1</xdr:col>
      <xdr:colOff>0</xdr:colOff>
      <xdr:row>443</xdr:row>
      <xdr:rowOff>0</xdr:rowOff>
    </xdr:from>
    <xdr:ext cx="4876800" cy="4724400"/>
    <xdr:pic>
      <xdr:nvPicPr>
        <xdr:cNvPr id="0" name="image1.png" title="תמונה">
          <a:extLst>
            <a:ext uri="{FF2B5EF4-FFF2-40B4-BE49-F238E27FC236}">
              <a16:creationId xmlns:a16="http://schemas.microsoft.com/office/drawing/2014/main" id="{d40e2e82-6bcf-4f87-aa4d-84584e68d6fd}"/>
            </a:ext>
          </a:extLst>
        </xdr:cNvPr>
        <xdr:cNvPicPr preferRelativeResize="0"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57225" y="75952350"/>
          <a:ext cx="4876800" cy="4724400"/>
        </a:xfrm>
        <a:prstGeom prst="rect"/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R33:T57" headerRowCount="0">
  <tableColumns count="3">
    <tableColumn id="1" name="Column1"/>
    <tableColumn id="2" name="Column2"/>
    <tableColumn id="3" name="Column3"/>
  </tableColumns>
  <tableStyleInfo name="עותק של ריכוז גדודי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W33:AC5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עותק של ריכוז גדודי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L64:N93">
  <tableColumns count="3">
    <tableColumn id="1" name="גומא"/>
    <tableColumn id="2" name="יחמור"/>
    <tableColumn id="3" name="ייפתח "/>
  </tableColumns>
  <tableStyleInfo name="עותק של ריכוז גדודי-style 3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 /><Relationship Id="rId2" Type="http://schemas.openxmlformats.org/officeDocument/2006/relationships/vmlDrawing" Target="../drawings/vmlDrawing1.v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forms.gle/QV2RxuF8yAs11UDH9" TargetMode="Externa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table" Target="../tables/table2.xml" /><Relationship Id="rId3" Type="http://schemas.openxmlformats.org/officeDocument/2006/relationships/table" Target="../tables/table3.xml" /><Relationship Id="rId4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000-000000000000}">
  <dimension ref="A1:AC28"/>
  <sheetViews>
    <sheetView rightToLeft="1" workbookViewId="0" topLeftCell="A1"/>
  </sheetViews>
  <sheetFormatPr defaultColWidth="12.635" defaultRowHeight="15" customHeight="1"/>
  <cols>
    <col min="1" max="1" width="8.625" customWidth="1"/>
    <col min="2" max="2" width="16.125" customWidth="1"/>
    <col min="3" max="3" width="8.5" customWidth="1"/>
    <col min="4" max="5" width="8.625" customWidth="1"/>
    <col min="6" max="6" width="12.5" hidden="1" customWidth="1"/>
    <col min="7" max="7" width="4.75" customWidth="1"/>
    <col min="8" max="8" width="8.625" customWidth="1"/>
    <col min="9" max="9" width="24.875" customWidth="1"/>
    <col min="10" max="10" width="8.625" customWidth="1"/>
    <col min="11" max="11" width="16.5" customWidth="1"/>
    <col min="12" max="12" width="8.625" customWidth="1"/>
    <col min="13" max="13" width="10" customWidth="1"/>
    <col min="14" max="14" width="16.625" customWidth="1"/>
    <col min="15" max="17" width="8.625" customWidth="1"/>
    <col min="18" max="19" width="16.5" customWidth="1"/>
    <col min="20" max="20" width="17.625" customWidth="1"/>
    <col min="21" max="21" width="6.75" customWidth="1"/>
    <col min="22" max="22" width="6.5" customWidth="1"/>
    <col min="23" max="23" width="7.875" customWidth="1"/>
    <col min="24" max="24" width="8.875" customWidth="1"/>
    <col min="25" max="25" width="6.875" customWidth="1"/>
    <col min="26" max="26" width="9" customWidth="1"/>
    <col min="27" max="27" width="6.875" customWidth="1"/>
    <col min="28" max="28" width="10.5" customWidth="1"/>
    <col min="29" max="29" width="6.5" customWidth="1"/>
    <col min="30" max="30" width="10.5" customWidth="1"/>
    <col min="31" max="40" width="8.625" customWidth="1"/>
  </cols>
  <sheetData>
    <row r="1" spans="1:24" ht="13.5" customHeight="1">
      <c r="A1" s="1">
        <v>9294</v>
      </c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5"/>
      <c r="H1" s="6" t="s">
        <v>5</v>
      </c>
      <c r="K1" s="2" t="s">
        <v>6</v>
      </c>
      <c r="L1" s="3" t="s">
        <v>1</v>
      </c>
      <c r="M1" s="3" t="s">
        <v>2</v>
      </c>
      <c r="N1" s="3" t="s">
        <v>3</v>
      </c>
      <c r="O1" s="5"/>
      <c r="P1" s="6" t="s">
        <v>5</v>
      </c>
      <c r="S1" s="2" t="s">
        <v>7</v>
      </c>
      <c r="T1" s="3" t="s">
        <v>1</v>
      </c>
      <c r="U1" s="3" t="s">
        <v>2</v>
      </c>
      <c r="V1" s="3" t="s">
        <v>3</v>
      </c>
      <c r="W1" s="5"/>
      <c r="X1" s="6" t="s">
        <v>5</v>
      </c>
    </row>
    <row r="2" spans="3:22" ht="13.5" customHeight="1" thickBot="1">
      <c r="C2" s="7" t="s">
        <v>8</v>
      </c>
      <c r="D2" s="7" t="s">
        <v>9</v>
      </c>
      <c r="E2" s="7" t="s">
        <v>10</v>
      </c>
      <c r="F2" s="3"/>
      <c r="L2" s="7" t="s">
        <v>8</v>
      </c>
      <c r="M2" s="7" t="s">
        <v>9</v>
      </c>
      <c r="N2" s="7" t="s">
        <v>11</v>
      </c>
      <c r="T2" s="7" t="s">
        <v>8</v>
      </c>
      <c r="U2" s="7" t="s">
        <v>9</v>
      </c>
      <c r="V2" s="7" t="s">
        <v>10</v>
      </c>
    </row>
    <row r="3" spans="2:29" ht="13.5" customHeight="1" thickTop="1" thickBot="1">
      <c r="B3" s="8" t="s">
        <v>12</v>
      </c>
      <c r="C3" s="9">
        <f>' תחמושת סוללה א'!Z2</f>
        <v>124</v>
      </c>
      <c r="D3" s="9">
        <f>'תמחושת סוללה ב'!X2</f>
        <v>181</v>
      </c>
      <c r="E3" s="9">
        <f>' יחמור ג'!AA2</f>
        <v>224</v>
      </c>
      <c r="F3" s="10" t="s">
        <v>144</v>
      </c>
      <c r="G3" s="11"/>
      <c r="H3" s="12">
        <f t="shared" si="0" ref="H3:H26">E3+D3+C3</f>
        <v>529</v>
      </c>
      <c r="K3" s="8" t="s">
        <v>12</v>
      </c>
      <c r="L3" s="13"/>
      <c r="M3" s="13">
        <v>14</v>
      </c>
      <c r="N3" s="13">
        <v>16</v>
      </c>
      <c r="O3" s="11"/>
      <c r="P3" s="12">
        <f t="shared" si="1" ref="P3:P18">N3+M3+L3</f>
        <v>30</v>
      </c>
      <c r="S3" s="8" t="s">
        <v>12</v>
      </c>
      <c r="T3" s="13">
        <f t="shared" si="2" ref="T3:V3">C3-L3</f>
        <v>124</v>
      </c>
      <c r="U3" s="9">
        <f t="shared" si="2"/>
        <v>167</v>
      </c>
      <c r="V3" s="9">
        <f t="shared" si="2"/>
        <v>208</v>
      </c>
      <c r="W3" s="11"/>
      <c r="X3" s="12">
        <f t="shared" si="3" ref="X3:X26">V3+U3+T3</f>
        <v>499</v>
      </c>
      <c r="AC3" s="1"/>
    </row>
    <row r="4" spans="2:29" ht="13.5" customHeight="1" thickTop="1" thickBot="1">
      <c r="B4" s="14" t="s">
        <v>13</v>
      </c>
      <c r="C4" s="9">
        <f>' תחמושת סוללה א'!Z3</f>
        <v>36</v>
      </c>
      <c r="D4" s="9">
        <f>'תמחושת סוללה ב'!X3-4</f>
        <v>49</v>
      </c>
      <c r="E4" s="9">
        <f>' יחמור ג'!AA3</f>
        <v>39</v>
      </c>
      <c r="F4" s="10" t="s">
        <v>144</v>
      </c>
      <c r="G4" s="15"/>
      <c r="H4" s="12">
        <f t="shared" si="0"/>
        <v>124</v>
      </c>
      <c r="K4" s="14" t="s">
        <v>13</v>
      </c>
      <c r="L4" s="9"/>
      <c r="M4" s="9"/>
      <c r="N4" s="9" t="str">
        <f>' - אלקוש ג'!AJ3</f>
        <v/>
      </c>
      <c r="O4" s="15"/>
      <c r="P4" s="12">
        <f t="shared" si="1"/>
        <v>0</v>
      </c>
      <c r="S4" s="14" t="s">
        <v>13</v>
      </c>
      <c r="T4" s="13">
        <f t="shared" si="4" ref="T4:V4">C4-L4</f>
        <v>36</v>
      </c>
      <c r="U4" s="9">
        <f t="shared" si="4"/>
        <v>49</v>
      </c>
      <c r="V4" s="9">
        <f t="shared" si="4"/>
        <v>39</v>
      </c>
      <c r="W4" s="15"/>
      <c r="X4" s="12">
        <f t="shared" si="3"/>
        <v>124</v>
      </c>
      <c r="AC4" s="1"/>
    </row>
    <row r="5" spans="2:29" ht="13.5" customHeight="1" thickTop="1" thickBot="1">
      <c r="B5" s="14" t="s">
        <v>14</v>
      </c>
      <c r="C5" s="9">
        <f>' תחמושת סוללה א'!Z4</f>
        <v>137</v>
      </c>
      <c r="D5" s="9">
        <f>'תמחושת סוללה ב'!X4</f>
        <v>209</v>
      </c>
      <c r="E5" s="9">
        <f>' יחמור ג'!AA4</f>
        <v>126</v>
      </c>
      <c r="F5" s="10" t="s">
        <v>144</v>
      </c>
      <c r="G5" s="15"/>
      <c r="H5" s="12">
        <f t="shared" si="0"/>
        <v>472</v>
      </c>
      <c r="K5" s="14" t="s">
        <v>14</v>
      </c>
      <c r="L5" s="9"/>
      <c r="M5" s="9"/>
      <c r="N5" s="9" t="str">
        <f>' - אלקוש ג'!AJ4</f>
        <v/>
      </c>
      <c r="O5" s="15"/>
      <c r="P5" s="12">
        <f t="shared" si="1"/>
        <v>0</v>
      </c>
      <c r="S5" s="14" t="s">
        <v>14</v>
      </c>
      <c r="T5" s="13">
        <f t="shared" si="5" ref="T5:V5">C5-L5</f>
        <v>137</v>
      </c>
      <c r="U5" s="9">
        <f t="shared" si="5"/>
        <v>209</v>
      </c>
      <c r="V5" s="9">
        <f t="shared" si="5"/>
        <v>126</v>
      </c>
      <c r="W5" s="15"/>
      <c r="X5" s="12">
        <f t="shared" si="3"/>
        <v>472</v>
      </c>
      <c r="AC5" s="1"/>
    </row>
    <row r="6" spans="2:29" ht="13.5" customHeight="1" thickTop="1" thickBot="1">
      <c r="B6" s="14" t="s">
        <v>15</v>
      </c>
      <c r="C6" s="9">
        <f>' תחמושת סוללה א'!Z5</f>
        <v>24</v>
      </c>
      <c r="D6" s="9">
        <f>'תמחושת סוללה ב'!X5</f>
        <v>146</v>
      </c>
      <c r="E6" s="9">
        <f>' יחמור ג'!AA5</f>
        <v>158</v>
      </c>
      <c r="F6" s="10" t="s">
        <v>144</v>
      </c>
      <c r="G6" s="15"/>
      <c r="H6" s="12">
        <f t="shared" si="0"/>
        <v>328</v>
      </c>
      <c r="K6" s="14" t="s">
        <v>15</v>
      </c>
      <c r="L6" s="9"/>
      <c r="M6" s="13">
        <v>10</v>
      </c>
      <c r="N6" s="9" t="str">
        <f>' - אלקוש ג'!AJ5</f>
        <v/>
      </c>
      <c r="O6" s="15"/>
      <c r="P6" s="12">
        <f t="shared" si="1"/>
        <v>10</v>
      </c>
      <c r="S6" s="14" t="s">
        <v>15</v>
      </c>
      <c r="T6" s="13">
        <f t="shared" si="6" ref="T6:V6">C6-L6</f>
        <v>24</v>
      </c>
      <c r="U6" s="9">
        <f t="shared" si="6"/>
        <v>136</v>
      </c>
      <c r="V6" s="9">
        <f t="shared" si="6"/>
        <v>158</v>
      </c>
      <c r="W6" s="15"/>
      <c r="X6" s="12">
        <f t="shared" si="3"/>
        <v>318</v>
      </c>
      <c r="AC6" s="1"/>
    </row>
    <row r="7" spans="2:29" ht="13.5" customHeight="1" thickTop="1" thickBot="1">
      <c r="B7" s="14" t="s">
        <v>16</v>
      </c>
      <c r="C7" s="9">
        <f>' תחמושת סוללה א'!Z6</f>
        <v>105</v>
      </c>
      <c r="D7" s="9">
        <f>'תמחושת סוללה ב'!X6</f>
        <v>75</v>
      </c>
      <c r="E7" s="9">
        <f>' יחמור ג'!AA6</f>
        <v>0</v>
      </c>
      <c r="F7" s="10" t="s">
        <v>144</v>
      </c>
      <c r="G7" s="15"/>
      <c r="H7" s="12">
        <f t="shared" si="0"/>
        <v>180</v>
      </c>
      <c r="K7" s="14" t="s">
        <v>16</v>
      </c>
      <c r="L7" s="9"/>
      <c r="M7" s="9"/>
      <c r="N7" s="9" t="str">
        <f>' - אלקוש ג'!AJ6</f>
        <v/>
      </c>
      <c r="O7" s="15"/>
      <c r="P7" s="12">
        <f t="shared" si="1"/>
        <v>0</v>
      </c>
      <c r="S7" s="14" t="s">
        <v>16</v>
      </c>
      <c r="T7" s="13">
        <f t="shared" si="7" ref="T7:V7">C7-L7</f>
        <v>105</v>
      </c>
      <c r="U7" s="9">
        <f t="shared" si="7"/>
        <v>75</v>
      </c>
      <c r="V7" s="9">
        <f t="shared" si="7"/>
        <v>0</v>
      </c>
      <c r="W7" s="15"/>
      <c r="X7" s="12">
        <f t="shared" si="3"/>
        <v>180</v>
      </c>
      <c r="AC7" s="1"/>
    </row>
    <row r="8" spans="2:29" ht="13.5" customHeight="1" thickTop="1" thickBot="1">
      <c r="B8" s="14" t="s">
        <v>17</v>
      </c>
      <c r="C8" s="9">
        <f>' תחמושת סוללה א'!Z7</f>
        <v>24</v>
      </c>
      <c r="D8" s="9">
        <f>'תמחושת סוללה ב'!X7</f>
        <v>0</v>
      </c>
      <c r="E8" s="9">
        <f>' יחמור ג'!AA7</f>
        <v>0</v>
      </c>
      <c r="F8" s="10" t="s">
        <v>144</v>
      </c>
      <c r="G8" s="15"/>
      <c r="H8" s="12">
        <f t="shared" si="0"/>
        <v>24</v>
      </c>
      <c r="K8" s="14" t="s">
        <v>17</v>
      </c>
      <c r="L8" s="9"/>
      <c r="M8" s="9"/>
      <c r="N8" s="9" t="str">
        <f>' - אלקוש ג'!AJ7</f>
        <v/>
      </c>
      <c r="O8" s="15"/>
      <c r="P8" s="12">
        <f t="shared" si="1"/>
        <v>0</v>
      </c>
      <c r="S8" s="14" t="s">
        <v>17</v>
      </c>
      <c r="T8" s="13">
        <f t="shared" si="8" ref="T8:V8">C8-L8</f>
        <v>24</v>
      </c>
      <c r="U8" s="9">
        <f t="shared" si="8"/>
        <v>0</v>
      </c>
      <c r="V8" s="9">
        <f t="shared" si="8"/>
        <v>0</v>
      </c>
      <c r="W8" s="15"/>
      <c r="X8" s="12">
        <f t="shared" si="3"/>
        <v>24</v>
      </c>
      <c r="AC8" s="1"/>
    </row>
    <row r="9" spans="2:29" ht="13.5" customHeight="1" thickTop="1" thickBot="1">
      <c r="B9" s="14" t="s">
        <v>18</v>
      </c>
      <c r="C9" s="9">
        <f>' תחמושת סוללה א'!Z8</f>
        <v>0</v>
      </c>
      <c r="D9" s="9">
        <f>'תמחושת סוללה ב'!X8</f>
        <v>144</v>
      </c>
      <c r="E9" s="9">
        <f>' יחמור ג'!AA8</f>
        <v>139</v>
      </c>
      <c r="F9" s="10" t="s">
        <v>144</v>
      </c>
      <c r="G9" s="15"/>
      <c r="H9" s="12">
        <f t="shared" si="0"/>
        <v>283</v>
      </c>
      <c r="K9" s="14" t="s">
        <v>18</v>
      </c>
      <c r="L9" s="9"/>
      <c r="M9" s="9"/>
      <c r="N9" s="9" t="str">
        <f>' - אלקוש ג'!AJ8</f>
        <v/>
      </c>
      <c r="O9" s="15"/>
      <c r="P9" s="12">
        <f t="shared" si="1"/>
        <v>0</v>
      </c>
      <c r="S9" s="14" t="s">
        <v>18</v>
      </c>
      <c r="T9" s="13">
        <f t="shared" si="9" ref="T9:V9">C9-L9</f>
        <v>0</v>
      </c>
      <c r="U9" s="9">
        <f t="shared" si="9"/>
        <v>144</v>
      </c>
      <c r="V9" s="9">
        <f t="shared" si="9"/>
        <v>139</v>
      </c>
      <c r="W9" s="15"/>
      <c r="X9" s="12">
        <f t="shared" si="3"/>
        <v>283</v>
      </c>
      <c r="AC9" s="1"/>
    </row>
    <row r="10" spans="2:29" ht="13.5" customHeight="1" thickTop="1" thickBot="1">
      <c r="B10" s="14" t="s">
        <v>19</v>
      </c>
      <c r="C10" s="9">
        <f>' תחמושת סוללה א'!Z9</f>
        <v>0</v>
      </c>
      <c r="D10" s="9">
        <f>'תמחושת סוללה ב'!X9</f>
        <v>0</v>
      </c>
      <c r="E10" s="9">
        <f>' יחמור ג'!AA9</f>
        <v>0</v>
      </c>
      <c r="F10" s="10" t="s">
        <v>144</v>
      </c>
      <c r="G10" s="15"/>
      <c r="H10" s="12">
        <f t="shared" si="0"/>
        <v>0</v>
      </c>
      <c r="K10" s="14" t="s">
        <v>19</v>
      </c>
      <c r="L10" s="9"/>
      <c r="M10" s="9"/>
      <c r="N10" s="9" t="str">
        <f>' - אלקוש ג'!AJ9</f>
        <v/>
      </c>
      <c r="O10" s="15"/>
      <c r="P10" s="12">
        <f t="shared" si="1"/>
        <v>0</v>
      </c>
      <c r="S10" s="14" t="s">
        <v>19</v>
      </c>
      <c r="T10" s="13">
        <f t="shared" si="10" ref="T10:V10">C10-L10</f>
        <v>0</v>
      </c>
      <c r="U10" s="9">
        <f t="shared" si="10"/>
        <v>0</v>
      </c>
      <c r="V10" s="9">
        <f t="shared" si="10"/>
        <v>0</v>
      </c>
      <c r="W10" s="15"/>
      <c r="X10" s="12">
        <f t="shared" si="3"/>
        <v>0</v>
      </c>
      <c r="AC10" s="1"/>
    </row>
    <row r="11" spans="2:29" ht="13.5" customHeight="1" thickTop="1" thickBot="1">
      <c r="B11" s="16" t="s">
        <v>20</v>
      </c>
      <c r="C11" s="9">
        <f>' תחמושת סוללה א'!Z10</f>
        <v>0</v>
      </c>
      <c r="D11" s="9">
        <f>'תמחושת סוללה ב'!X10</f>
        <v>0</v>
      </c>
      <c r="E11" s="9">
        <f>' יחמור ג'!AA10</f>
        <v>0</v>
      </c>
      <c r="F11" s="10" t="s">
        <v>144</v>
      </c>
      <c r="G11" s="15"/>
      <c r="H11" s="12">
        <f t="shared" si="0"/>
        <v>0</v>
      </c>
      <c r="K11" s="16" t="s">
        <v>20</v>
      </c>
      <c r="L11" s="9"/>
      <c r="M11" s="9"/>
      <c r="N11" s="9" t="str">
        <f>' - אלקוש ג'!AJ10</f>
        <v/>
      </c>
      <c r="O11" s="15"/>
      <c r="P11" s="12">
        <f t="shared" si="1"/>
        <v>0</v>
      </c>
      <c r="S11" s="16" t="s">
        <v>20</v>
      </c>
      <c r="T11" s="13">
        <f t="shared" si="11" ref="T11:V11">C11-L11</f>
        <v>0</v>
      </c>
      <c r="U11" s="9">
        <f t="shared" si="11"/>
        <v>0</v>
      </c>
      <c r="V11" s="9">
        <f t="shared" si="11"/>
        <v>0</v>
      </c>
      <c r="W11" s="15"/>
      <c r="X11" s="12">
        <f t="shared" si="3"/>
        <v>0</v>
      </c>
      <c r="AC11" s="1"/>
    </row>
    <row r="12" spans="2:29" ht="13.5" customHeight="1" thickTop="1" thickBot="1">
      <c r="B12" s="17">
        <v>582</v>
      </c>
      <c r="C12" s="9">
        <f>' תחמושת סוללה א'!Z11</f>
        <v>156</v>
      </c>
      <c r="D12" s="9">
        <f>'תמחושת סוללה ב'!X11</f>
        <v>161</v>
      </c>
      <c r="E12" s="9">
        <f>' יחמור ג'!AA11</f>
        <v>150</v>
      </c>
      <c r="F12" s="10" t="s">
        <v>144</v>
      </c>
      <c r="G12" s="15"/>
      <c r="H12" s="12">
        <f t="shared" si="0"/>
        <v>467</v>
      </c>
      <c r="K12" s="17">
        <v>582</v>
      </c>
      <c r="L12" s="9"/>
      <c r="M12" s="9"/>
      <c r="N12" s="9" t="str">
        <f>' - אלקוש ג'!AJ11</f>
        <v/>
      </c>
      <c r="O12" s="15"/>
      <c r="P12" s="12">
        <f t="shared" si="1"/>
        <v>0</v>
      </c>
      <c r="S12" s="17">
        <v>582</v>
      </c>
      <c r="T12" s="13">
        <f t="shared" si="12" ref="T12:V12">C12-L12</f>
        <v>156</v>
      </c>
      <c r="U12" s="9">
        <f t="shared" si="12"/>
        <v>161</v>
      </c>
      <c r="V12" s="9">
        <f t="shared" si="12"/>
        <v>150</v>
      </c>
      <c r="W12" s="15"/>
      <c r="X12" s="12">
        <f t="shared" si="3"/>
        <v>467</v>
      </c>
      <c r="AC12" s="1"/>
    </row>
    <row r="13" spans="2:29" ht="13.5" customHeight="1" thickTop="1" thickBot="1">
      <c r="B13" s="17">
        <v>739</v>
      </c>
      <c r="C13" s="9">
        <f>' תחמושת סוללה א'!Z12</f>
        <v>15</v>
      </c>
      <c r="D13" s="9">
        <f>'תמחושת סוללה ב'!X12</f>
        <v>55</v>
      </c>
      <c r="E13" s="9">
        <f>' יחמור ג'!AA12</f>
        <v>12</v>
      </c>
      <c r="F13" s="10" t="s">
        <v>144</v>
      </c>
      <c r="G13" s="15"/>
      <c r="H13" s="12">
        <f t="shared" si="0"/>
        <v>82</v>
      </c>
      <c r="K13" s="17">
        <v>739</v>
      </c>
      <c r="L13" s="9"/>
      <c r="M13" s="13">
        <v>9</v>
      </c>
      <c r="N13" s="13"/>
      <c r="O13" s="15"/>
      <c r="P13" s="12">
        <f t="shared" si="1"/>
        <v>9</v>
      </c>
      <c r="S13" s="17">
        <v>739</v>
      </c>
      <c r="T13" s="13">
        <f t="shared" si="13" ref="T13:V13">C13-L13</f>
        <v>15</v>
      </c>
      <c r="U13" s="9">
        <f t="shared" si="13"/>
        <v>46</v>
      </c>
      <c r="V13" s="9">
        <f t="shared" si="13"/>
        <v>12</v>
      </c>
      <c r="W13" s="15"/>
      <c r="X13" s="12">
        <f t="shared" si="3"/>
        <v>73</v>
      </c>
      <c r="AC13" s="1"/>
    </row>
    <row r="14" spans="2:29" ht="13.5" customHeight="1" thickTop="1" thickBot="1">
      <c r="B14" s="17">
        <v>137</v>
      </c>
      <c r="C14" s="9">
        <f>' תחמושת סוללה א'!Z13</f>
        <v>94</v>
      </c>
      <c r="D14" s="9">
        <f>'תמחושת סוללה ב'!X13</f>
        <v>68</v>
      </c>
      <c r="E14" s="9">
        <f>' יחמור ג'!AA13</f>
        <v>112</v>
      </c>
      <c r="F14" s="10" t="s">
        <v>144</v>
      </c>
      <c r="G14" s="15"/>
      <c r="H14" s="12">
        <f t="shared" si="0"/>
        <v>274</v>
      </c>
      <c r="K14" s="17">
        <v>137</v>
      </c>
      <c r="L14" s="9"/>
      <c r="M14" s="13">
        <v>15</v>
      </c>
      <c r="N14" s="9" t="str">
        <f>' - אלקוש ג'!AJ13</f>
        <v/>
      </c>
      <c r="O14" s="15"/>
      <c r="P14" s="12">
        <f t="shared" si="1"/>
        <v>15</v>
      </c>
      <c r="S14" s="17">
        <v>137</v>
      </c>
      <c r="T14" s="13">
        <f t="shared" si="14" ref="T14:V14">C14-L14</f>
        <v>94</v>
      </c>
      <c r="U14" s="9">
        <f t="shared" si="14"/>
        <v>53</v>
      </c>
      <c r="V14" s="9">
        <f t="shared" si="14"/>
        <v>112</v>
      </c>
      <c r="W14" s="15"/>
      <c r="X14" s="12">
        <f t="shared" si="3"/>
        <v>259</v>
      </c>
      <c r="AC14" s="1"/>
    </row>
    <row r="15" spans="2:29" ht="13.5" customHeight="1" thickTop="1" thickBot="1">
      <c r="B15" s="17">
        <v>762</v>
      </c>
      <c r="C15" s="9">
        <f>' תחמושת סוללה א'!Z14</f>
        <v>0</v>
      </c>
      <c r="D15" s="9">
        <f>'תמחושת סוללה ב'!X14</f>
        <v>272</v>
      </c>
      <c r="E15" s="9">
        <f>' יחמור ג'!AA14</f>
        <v>164</v>
      </c>
      <c r="F15" s="10" t="s">
        <v>144</v>
      </c>
      <c r="G15" s="15"/>
      <c r="H15" s="12">
        <f t="shared" si="0"/>
        <v>436</v>
      </c>
      <c r="K15" s="17">
        <v>762</v>
      </c>
      <c r="L15" s="9"/>
      <c r="M15" s="9"/>
      <c r="N15" s="9" t="str">
        <f>' - אלקוש ג'!AJ14</f>
        <v/>
      </c>
      <c r="O15" s="15"/>
      <c r="P15" s="12">
        <f t="shared" si="1"/>
        <v>0</v>
      </c>
      <c r="S15" s="17">
        <v>762</v>
      </c>
      <c r="T15" s="13">
        <f t="shared" si="15" ref="T15:V15">C15-L15</f>
        <v>0</v>
      </c>
      <c r="U15" s="9">
        <f t="shared" si="15"/>
        <v>272</v>
      </c>
      <c r="V15" s="9">
        <f t="shared" si="15"/>
        <v>164</v>
      </c>
      <c r="W15" s="15"/>
      <c r="X15" s="12">
        <f t="shared" si="3"/>
        <v>436</v>
      </c>
      <c r="AC15" s="1"/>
    </row>
    <row r="16" spans="2:29" ht="13.5" customHeight="1" thickTop="1" thickBot="1">
      <c r="B16" s="17">
        <v>147</v>
      </c>
      <c r="C16" s="9">
        <f>' תחמושת סוללה א'!Z15</f>
        <v>0</v>
      </c>
      <c r="D16" s="9">
        <f>'תמחושת סוללה ב'!X15</f>
        <v>0</v>
      </c>
      <c r="E16" s="9">
        <f>' יחמור ג'!AA15</f>
        <v>0</v>
      </c>
      <c r="F16" s="10" t="s">
        <v>144</v>
      </c>
      <c r="G16" s="15"/>
      <c r="H16" s="12">
        <f t="shared" si="0"/>
        <v>0</v>
      </c>
      <c r="K16" s="17">
        <v>147</v>
      </c>
      <c r="L16" s="9"/>
      <c r="M16" s="9"/>
      <c r="N16" s="9" t="str">
        <f>' - אלקוש ג'!AJ15</f>
        <v/>
      </c>
      <c r="O16" s="15"/>
      <c r="P16" s="12">
        <f t="shared" si="1"/>
        <v>0</v>
      </c>
      <c r="S16" s="17">
        <v>147</v>
      </c>
      <c r="T16" s="13">
        <f t="shared" si="16" ref="T16:V16">C16-L16</f>
        <v>0</v>
      </c>
      <c r="U16" s="9">
        <f t="shared" si="16"/>
        <v>0</v>
      </c>
      <c r="V16" s="9">
        <f t="shared" si="16"/>
        <v>0</v>
      </c>
      <c r="W16" s="15"/>
      <c r="X16" s="12">
        <f t="shared" si="3"/>
        <v>0</v>
      </c>
      <c r="AC16" s="1"/>
    </row>
    <row r="17" spans="2:29" ht="13.5" customHeight="1" thickTop="1" thickBot="1">
      <c r="B17" s="18" t="s">
        <v>21</v>
      </c>
      <c r="C17" s="9">
        <f>' תחמושת סוללה א'!Z16</f>
        <v>136</v>
      </c>
      <c r="D17" s="9">
        <f>'תמחושת סוללה ב'!X16</f>
        <v>96</v>
      </c>
      <c r="E17" s="9">
        <f>' יחמור ג'!AA16</f>
        <v>115</v>
      </c>
      <c r="F17" s="10" t="s">
        <v>144</v>
      </c>
      <c r="G17" s="15"/>
      <c r="H17" s="12">
        <f t="shared" si="0"/>
        <v>347</v>
      </c>
      <c r="K17" s="18" t="s">
        <v>21</v>
      </c>
      <c r="L17" s="9"/>
      <c r="M17" s="9"/>
      <c r="N17" s="13">
        <v>16</v>
      </c>
      <c r="O17" s="15"/>
      <c r="P17" s="12">
        <f t="shared" si="1"/>
        <v>16</v>
      </c>
      <c r="S17" s="18" t="s">
        <v>21</v>
      </c>
      <c r="T17" s="13">
        <f t="shared" si="17" ref="T17:V17">C17-L17</f>
        <v>136</v>
      </c>
      <c r="U17" s="9">
        <f t="shared" si="17"/>
        <v>96</v>
      </c>
      <c r="V17" s="9">
        <f t="shared" si="17"/>
        <v>99</v>
      </c>
      <c r="W17" s="15"/>
      <c r="X17" s="12">
        <f t="shared" si="3"/>
        <v>331</v>
      </c>
      <c r="AC17" s="1"/>
    </row>
    <row r="18" spans="2:29" ht="13.5" customHeight="1" thickTop="1" thickBot="1">
      <c r="B18" s="19" t="s">
        <v>22</v>
      </c>
      <c r="C18" s="9">
        <f>' תחמושת סוללה א'!Z17</f>
        <v>0</v>
      </c>
      <c r="D18" s="9">
        <f>'תמחושת סוללה ב'!X17</f>
        <v>0</v>
      </c>
      <c r="E18" s="9">
        <f>' יחמור ג'!AA17</f>
        <v>0</v>
      </c>
      <c r="F18" s="10" t="s">
        <v>144</v>
      </c>
      <c r="G18" s="15"/>
      <c r="H18" s="12">
        <f t="shared" si="0"/>
        <v>0</v>
      </c>
      <c r="K18" s="19" t="s">
        <v>22</v>
      </c>
      <c r="L18" s="9"/>
      <c r="M18" s="9"/>
      <c r="N18" s="9" t="str">
        <f>' - אלקוש ג'!AJ17</f>
        <v/>
      </c>
      <c r="O18" s="15"/>
      <c r="P18" s="12">
        <f t="shared" si="1"/>
        <v>0</v>
      </c>
      <c r="S18" s="19" t="s">
        <v>22</v>
      </c>
      <c r="T18" s="13">
        <f t="shared" si="18" ref="T18:V18">C18-L18</f>
        <v>0</v>
      </c>
      <c r="U18" s="9">
        <f t="shared" si="18"/>
        <v>0</v>
      </c>
      <c r="V18" s="9">
        <f t="shared" si="18"/>
        <v>0</v>
      </c>
      <c r="W18" s="15"/>
      <c r="X18" s="12">
        <f t="shared" si="3"/>
        <v>0</v>
      </c>
      <c r="AC18" s="1"/>
    </row>
    <row r="19" spans="2:29" ht="13.5" customHeight="1" thickTop="1" thickBot="1">
      <c r="B19" s="20">
        <v>984</v>
      </c>
      <c r="C19" s="9">
        <f>' תחמושת סוללה א'!Z19</f>
        <v>2</v>
      </c>
      <c r="D19" s="9">
        <f>'תמחושת סוללה ב'!X18</f>
        <v>93</v>
      </c>
      <c r="E19" s="9">
        <f>' יחמור ג'!AA18</f>
        <v>144</v>
      </c>
      <c r="F19" s="10"/>
      <c r="G19" s="15"/>
      <c r="H19" s="12">
        <f t="shared" si="0"/>
        <v>239</v>
      </c>
      <c r="K19" s="20">
        <v>984</v>
      </c>
      <c r="L19" s="9"/>
      <c r="M19" s="9"/>
      <c r="N19" s="9"/>
      <c r="O19" s="15"/>
      <c r="P19" s="21">
        <v>0</v>
      </c>
      <c r="S19" s="20">
        <v>984</v>
      </c>
      <c r="T19" s="13">
        <f t="shared" si="19" ref="T19:V19">C19-L19</f>
        <v>2</v>
      </c>
      <c r="U19" s="9">
        <f t="shared" si="19"/>
        <v>93</v>
      </c>
      <c r="V19" s="9">
        <f t="shared" si="19"/>
        <v>144</v>
      </c>
      <c r="W19" s="15"/>
      <c r="X19" s="12">
        <f t="shared" si="3"/>
        <v>239</v>
      </c>
      <c r="AC19" s="1"/>
    </row>
    <row r="20" spans="2:29" ht="13.5" customHeight="1" thickTop="1" thickBot="1">
      <c r="B20" s="17">
        <v>557</v>
      </c>
      <c r="C20" s="9">
        <f>' תחמושת סוללה א'!Z18</f>
        <v>0</v>
      </c>
      <c r="D20" s="9">
        <f>'תמחושת סוללה ב'!X19</f>
        <v>0</v>
      </c>
      <c r="E20" s="9">
        <f>' יחמור ג'!AA19</f>
        <v>0</v>
      </c>
      <c r="F20" s="10" t="s">
        <v>144</v>
      </c>
      <c r="G20" s="15"/>
      <c r="H20" s="12">
        <f t="shared" si="0"/>
        <v>0</v>
      </c>
      <c r="K20" s="17">
        <v>557</v>
      </c>
      <c r="L20" s="13"/>
      <c r="M20" s="9"/>
      <c r="N20" s="9" t="str">
        <f>' - אלקוש ג'!AJ18</f>
        <v/>
      </c>
      <c r="O20" s="15"/>
      <c r="P20" s="12">
        <f t="shared" si="20" ref="P20:P26">N20+M20+L20</f>
        <v>0</v>
      </c>
      <c r="S20" s="17">
        <v>557</v>
      </c>
      <c r="T20" s="13">
        <f t="shared" si="21" ref="T20:V20">C20-L20</f>
        <v>0</v>
      </c>
      <c r="U20" s="9">
        <f t="shared" si="21"/>
        <v>0</v>
      </c>
      <c r="V20" s="9">
        <f t="shared" si="21"/>
        <v>0</v>
      </c>
      <c r="W20" s="15"/>
      <c r="X20" s="12">
        <f t="shared" si="3"/>
        <v>0</v>
      </c>
      <c r="AC20" s="1"/>
    </row>
    <row r="21" spans="2:29" ht="13.5" customHeight="1" thickTop="1" thickBot="1">
      <c r="B21" s="22" t="s">
        <v>23</v>
      </c>
      <c r="C21" s="9">
        <f>' תחמושת סוללה א'!Z20</f>
        <v>1</v>
      </c>
      <c r="D21" s="9">
        <f>'תמחושת סוללה ב'!X20-4</f>
        <v>273</v>
      </c>
      <c r="E21" s="9">
        <f>' יחמור ג'!AA20</f>
        <v>89</v>
      </c>
      <c r="F21" s="10" t="s">
        <v>144</v>
      </c>
      <c r="G21" s="15"/>
      <c r="H21" s="12">
        <f t="shared" si="0"/>
        <v>363</v>
      </c>
      <c r="K21" s="22" t="s">
        <v>23</v>
      </c>
      <c r="L21" s="13"/>
      <c r="M21" s="13">
        <v>24</v>
      </c>
      <c r="N21" s="9" t="str">
        <f>' - אלקוש ג'!AJ20</f>
        <v/>
      </c>
      <c r="O21" s="15"/>
      <c r="P21" s="12">
        <f t="shared" si="20"/>
        <v>24</v>
      </c>
      <c r="S21" s="22" t="s">
        <v>23</v>
      </c>
      <c r="T21" s="13">
        <f t="shared" si="22" ref="T21:V21">C21-L21</f>
        <v>1</v>
      </c>
      <c r="U21" s="9">
        <f t="shared" si="22"/>
        <v>249</v>
      </c>
      <c r="V21" s="9">
        <f t="shared" si="22"/>
        <v>89</v>
      </c>
      <c r="W21" s="15"/>
      <c r="X21" s="12">
        <f t="shared" si="3"/>
        <v>339</v>
      </c>
      <c r="AC21" s="1"/>
    </row>
    <row r="22" spans="2:29" ht="13.5" customHeight="1" thickTop="1" thickBot="1">
      <c r="B22" s="22" t="s">
        <v>24</v>
      </c>
      <c r="C22" s="9">
        <f>' תחמושת סוללה א'!Z21</f>
        <v>164</v>
      </c>
      <c r="D22" s="9">
        <f>'תמחושת סוללה ב'!X21</f>
        <v>157</v>
      </c>
      <c r="E22" s="9">
        <f>' יחמור ג'!AA21</f>
        <v>408</v>
      </c>
      <c r="F22" s="10" t="s">
        <v>144</v>
      </c>
      <c r="G22" s="15"/>
      <c r="H22" s="12">
        <f t="shared" si="0"/>
        <v>729</v>
      </c>
      <c r="K22" s="22" t="s">
        <v>24</v>
      </c>
      <c r="L22" s="9"/>
      <c r="M22" s="13"/>
      <c r="N22" s="13">
        <v>16</v>
      </c>
      <c r="O22" s="15"/>
      <c r="P22" s="12">
        <f t="shared" si="20"/>
        <v>16</v>
      </c>
      <c r="S22" s="22" t="s">
        <v>24</v>
      </c>
      <c r="T22" s="13">
        <f t="shared" si="23" ref="T22:V22">C22-L22</f>
        <v>164</v>
      </c>
      <c r="U22" s="9">
        <f t="shared" si="23"/>
        <v>157</v>
      </c>
      <c r="V22" s="9">
        <f t="shared" si="23"/>
        <v>392</v>
      </c>
      <c r="W22" s="15"/>
      <c r="X22" s="12">
        <f t="shared" si="3"/>
        <v>713</v>
      </c>
      <c r="AC22" s="1"/>
    </row>
    <row r="23" spans="2:29" ht="13.5" customHeight="1" thickTop="1" thickBot="1">
      <c r="B23" s="23" t="s">
        <v>25</v>
      </c>
      <c r="C23" s="9">
        <f>' תחמושת סוללה א'!Z22</f>
        <v>285</v>
      </c>
      <c r="D23" s="9">
        <f>'תמחושת סוללה ב'!X22</f>
        <v>332</v>
      </c>
      <c r="E23" s="9">
        <f>' יחמור ג'!AA22</f>
        <v>164</v>
      </c>
      <c r="F23" s="10" t="s">
        <v>144</v>
      </c>
      <c r="G23" s="15"/>
      <c r="H23" s="12">
        <f t="shared" si="0"/>
        <v>781</v>
      </c>
      <c r="K23" s="23" t="s">
        <v>25</v>
      </c>
      <c r="L23" s="9"/>
      <c r="M23" s="9"/>
      <c r="N23" s="9" t="str">
        <f>' - אלקוש ג'!AJ22</f>
        <v/>
      </c>
      <c r="O23" s="15"/>
      <c r="P23" s="12">
        <f t="shared" si="20"/>
        <v>0</v>
      </c>
      <c r="S23" s="23" t="s">
        <v>25</v>
      </c>
      <c r="T23" s="13">
        <f t="shared" si="24" ref="T23:V23">C23-L23</f>
        <v>285</v>
      </c>
      <c r="U23" s="9">
        <f t="shared" si="24"/>
        <v>332</v>
      </c>
      <c r="V23" s="9">
        <f t="shared" si="24"/>
        <v>164</v>
      </c>
      <c r="W23" s="15"/>
      <c r="X23" s="12">
        <f t="shared" si="3"/>
        <v>781</v>
      </c>
      <c r="AC23" s="1"/>
    </row>
    <row r="24" spans="2:29" ht="13.5" customHeight="1" thickTop="1" thickBot="1">
      <c r="B24" s="23" t="s">
        <v>26</v>
      </c>
      <c r="C24" s="9">
        <f>' תחמושת סוללה א'!Z23</f>
        <v>0</v>
      </c>
      <c r="D24" s="9">
        <f>'תמחושת סוללה ב'!X23</f>
        <v>0</v>
      </c>
      <c r="E24" s="9">
        <f>' יחמור ג'!AA23</f>
        <v>0</v>
      </c>
      <c r="F24" s="10" t="s">
        <v>144</v>
      </c>
      <c r="G24" s="15"/>
      <c r="H24" s="12">
        <f t="shared" si="0"/>
        <v>0</v>
      </c>
      <c r="K24" s="23" t="s">
        <v>26</v>
      </c>
      <c r="L24" s="9"/>
      <c r="M24" s="9"/>
      <c r="N24" s="9" t="str">
        <f>' - אלקוש ג'!AJ23</f>
        <v/>
      </c>
      <c r="O24" s="15"/>
      <c r="P24" s="12">
        <f t="shared" si="20"/>
        <v>0</v>
      </c>
      <c r="S24" s="23" t="s">
        <v>26</v>
      </c>
      <c r="T24" s="13">
        <f t="shared" si="25" ref="T24:V24">C24-L24</f>
        <v>0</v>
      </c>
      <c r="U24" s="9">
        <f t="shared" si="25"/>
        <v>0</v>
      </c>
      <c r="V24" s="9">
        <f t="shared" si="25"/>
        <v>0</v>
      </c>
      <c r="W24" s="15"/>
      <c r="X24" s="12">
        <f t="shared" si="3"/>
        <v>0</v>
      </c>
      <c r="AC24" s="1"/>
    </row>
    <row r="25" spans="2:29" ht="13.5" customHeight="1" thickTop="1" thickBot="1">
      <c r="B25" s="23" t="s">
        <v>27</v>
      </c>
      <c r="C25" s="9">
        <f>' תחמושת סוללה א'!Z24</f>
        <v>76</v>
      </c>
      <c r="D25" s="9">
        <f>'תמחושת סוללה ב'!X24</f>
        <v>0</v>
      </c>
      <c r="E25" s="9">
        <f>' יחמור ג'!AA24</f>
        <v>0</v>
      </c>
      <c r="F25" s="10" t="s">
        <v>144</v>
      </c>
      <c r="G25" s="15"/>
      <c r="H25" s="12">
        <f t="shared" si="0"/>
        <v>76</v>
      </c>
      <c r="K25" s="23" t="s">
        <v>27</v>
      </c>
      <c r="L25" s="9"/>
      <c r="M25" s="9"/>
      <c r="N25" s="9" t="str">
        <f>' - אלקוש ג'!AJ24</f>
        <v/>
      </c>
      <c r="O25" s="15"/>
      <c r="P25" s="12">
        <f t="shared" si="20"/>
        <v>0</v>
      </c>
      <c r="S25" s="23" t="s">
        <v>27</v>
      </c>
      <c r="T25" s="13">
        <f t="shared" si="26" ref="T25:V25">C25-L25</f>
        <v>76</v>
      </c>
      <c r="U25" s="9">
        <f t="shared" si="26"/>
        <v>0</v>
      </c>
      <c r="V25" s="9">
        <f t="shared" si="26"/>
        <v>0</v>
      </c>
      <c r="W25" s="15"/>
      <c r="X25" s="12">
        <f t="shared" si="3"/>
        <v>76</v>
      </c>
      <c r="AC25" s="1"/>
    </row>
    <row r="26" spans="2:24" ht="13.5" customHeight="1" thickTop="1">
      <c r="B26" s="24" t="s">
        <v>28</v>
      </c>
      <c r="C26" s="9">
        <f>' תחמושת סוללה א'!Z25</f>
        <v>466</v>
      </c>
      <c r="D26" s="9">
        <f>'תמחושת סוללה ב'!X25</f>
        <v>320</v>
      </c>
      <c r="E26" s="9">
        <f>' יחמור ג'!AA25</f>
        <v>1048</v>
      </c>
      <c r="F26" s="10" t="s">
        <v>144</v>
      </c>
      <c r="G26" s="15"/>
      <c r="H26" s="12">
        <f t="shared" si="0"/>
        <v>1834</v>
      </c>
      <c r="K26" s="24" t="s">
        <v>28</v>
      </c>
      <c r="L26" s="9"/>
      <c r="M26" s="13"/>
      <c r="N26" s="13">
        <v>16</v>
      </c>
      <c r="O26" s="15"/>
      <c r="P26" s="12">
        <f t="shared" si="20"/>
        <v>16</v>
      </c>
      <c r="S26" s="24" t="s">
        <v>28</v>
      </c>
      <c r="T26" s="13">
        <f t="shared" si="27" ref="T26:V26">C26-L26</f>
        <v>466</v>
      </c>
      <c r="U26" s="9">
        <f t="shared" si="27"/>
        <v>320</v>
      </c>
      <c r="V26" s="9">
        <f t="shared" si="27"/>
        <v>1032</v>
      </c>
      <c r="W26" s="15"/>
      <c r="X26" s="12">
        <f t="shared" si="3"/>
        <v>1818</v>
      </c>
    </row>
    <row r="27" spans="3:20" ht="13.5" customHeight="1">
      <c r="C27" s="25">
        <f ca="1">NOW()</f>
        <v>46091.38234</v>
      </c>
      <c r="F27" s="25"/>
      <c r="L27" s="25">
        <f ca="1">NOW()</f>
        <v>46091.38234</v>
      </c>
      <c r="T27" s="25">
        <f ca="1">NOW()</f>
        <v>46091.38234</v>
      </c>
    </row>
    <row r="28" spans="6:6" ht="13.5" customHeight="1">
      <c r="F28" s="25"/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</sheetData>
  <mergeCells count="3">
    <mergeCell ref="C27:E28"/>
    <mergeCell ref="L27:N28"/>
    <mergeCell ref="T27:V28"/>
  </mergeCells>
  <pageMargins left="0.7" right="0.7" top="0.75" bottom="0.75" header="0" footer="0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100-000000000000}">
  <dimension ref="A1:AH1019"/>
  <sheetViews>
    <sheetView rightToLeft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ColWidth="12.635" defaultRowHeight="15" customHeight="1"/>
  <cols>
    <col min="1" max="1" width="21.5" customWidth="1"/>
    <col min="2" max="2" width="13" customWidth="1"/>
    <col min="3" max="3" width="13.5" customWidth="1"/>
    <col min="4" max="5" width="11.875" customWidth="1"/>
    <col min="6" max="6" width="15.75" customWidth="1"/>
    <col min="7" max="7" width="12.25" customWidth="1"/>
    <col min="8" max="9" width="12" customWidth="1"/>
    <col min="10" max="10" width="11.625" customWidth="1"/>
    <col min="11" max="15" width="10" customWidth="1"/>
    <col min="16" max="18" width="9.75" customWidth="1"/>
    <col min="19" max="19" width="11.5" customWidth="1"/>
    <col min="20" max="20" width="8.25" customWidth="1"/>
    <col min="21" max="21" width="9.125" customWidth="1"/>
    <col min="22" max="22" width="8.25" customWidth="1"/>
    <col min="23" max="23" width="14.375" customWidth="1"/>
    <col min="24" max="24" width="16.125" customWidth="1"/>
    <col min="25" max="25" width="14.375" customWidth="1"/>
  </cols>
  <sheetData>
    <row r="1" spans="1:34" ht="30" customHeight="1">
      <c r="A1" s="26" t="s">
        <v>29</v>
      </c>
      <c r="B1" s="27" t="s">
        <v>30</v>
      </c>
      <c r="C1" s="27" t="s">
        <v>31</v>
      </c>
      <c r="D1" s="27" t="s">
        <v>32</v>
      </c>
      <c r="E1" s="27" t="s">
        <v>33</v>
      </c>
      <c r="F1" s="27" t="s">
        <v>34</v>
      </c>
      <c r="G1" s="27" t="s">
        <v>35</v>
      </c>
      <c r="H1" s="27" t="s">
        <v>36</v>
      </c>
      <c r="I1" s="28">
        <v>621</v>
      </c>
      <c r="J1" s="28">
        <v>140</v>
      </c>
      <c r="K1" s="27" t="s">
        <v>37</v>
      </c>
      <c r="L1" s="27" t="s">
        <v>38</v>
      </c>
      <c r="M1" s="27" t="s">
        <v>39</v>
      </c>
      <c r="N1" s="27" t="s">
        <v>40</v>
      </c>
      <c r="O1" s="27" t="s">
        <v>41</v>
      </c>
      <c r="P1" s="27" t="s">
        <v>42</v>
      </c>
      <c r="Q1" s="27" t="s">
        <v>43</v>
      </c>
      <c r="R1" s="27" t="s">
        <v>44</v>
      </c>
      <c r="S1" s="27" t="s">
        <v>45</v>
      </c>
      <c r="T1" s="27" t="s">
        <v>46</v>
      </c>
      <c r="U1" s="29" t="s">
        <v>47</v>
      </c>
      <c r="V1" s="29" t="s">
        <v>48</v>
      </c>
      <c r="W1" s="29" t="s">
        <v>49</v>
      </c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13.5" customHeight="1">
      <c r="A2" s="31" t="s">
        <v>12</v>
      </c>
      <c r="B2" s="32">
        <v>29</v>
      </c>
      <c r="C2" s="32">
        <v>16</v>
      </c>
      <c r="D2" s="32">
        <v>23</v>
      </c>
      <c r="E2" s="32">
        <v>25</v>
      </c>
      <c r="F2" s="32">
        <v>31</v>
      </c>
      <c r="G2" s="32">
        <v>0</v>
      </c>
      <c r="H2" s="32">
        <v>0</v>
      </c>
      <c r="I2" s="32">
        <v>0</v>
      </c>
      <c r="J2" s="32">
        <v>0</v>
      </c>
      <c r="K2" s="33">
        <v>0</v>
      </c>
      <c r="L2" s="33">
        <v>0</v>
      </c>
      <c r="M2" s="33">
        <v>0</v>
      </c>
      <c r="N2" s="33">
        <v>0</v>
      </c>
      <c r="O2" s="32">
        <v>0</v>
      </c>
      <c r="P2" s="32">
        <v>0</v>
      </c>
      <c r="Q2" s="33">
        <v>0</v>
      </c>
      <c r="R2" s="33"/>
      <c r="S2" s="32">
        <v>0</v>
      </c>
      <c r="T2" s="33">
        <v>0</v>
      </c>
      <c r="U2" s="34">
        <f t="shared" si="0" ref="U2:U54">SUM(B2:H2)</f>
        <v>124</v>
      </c>
      <c r="V2" s="35">
        <f t="shared" si="1" ref="V2:V54">SUM(I2:T2)</f>
        <v>0</v>
      </c>
      <c r="W2" s="35">
        <f t="shared" si="2" ref="W2:W54">V2+U2</f>
        <v>124</v>
      </c>
      <c r="X2" s="36"/>
      <c r="Y2" s="8" t="s">
        <v>12</v>
      </c>
      <c r="Z2" s="33">
        <f t="shared" si="3" ref="Z2:Z17">W2</f>
        <v>124</v>
      </c>
      <c r="AA2" s="37" t="s">
        <v>12</v>
      </c>
      <c r="AB2" s="30"/>
      <c r="AC2" s="30"/>
      <c r="AD2" s="30"/>
      <c r="AE2" s="30"/>
      <c r="AF2" s="30"/>
      <c r="AG2" s="30"/>
      <c r="AH2" s="30"/>
    </row>
    <row r="3" spans="1:34" ht="13.5" customHeight="1">
      <c r="A3" s="31" t="s">
        <v>13</v>
      </c>
      <c r="B3" s="32">
        <v>11</v>
      </c>
      <c r="C3" s="32">
        <v>22</v>
      </c>
      <c r="D3" s="32">
        <v>3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3">
        <v>0</v>
      </c>
      <c r="L3" s="33">
        <v>0</v>
      </c>
      <c r="M3" s="33">
        <v>0</v>
      </c>
      <c r="N3" s="33">
        <v>0</v>
      </c>
      <c r="O3" s="32">
        <v>0</v>
      </c>
      <c r="P3" s="32">
        <v>0</v>
      </c>
      <c r="Q3" s="33">
        <v>0</v>
      </c>
      <c r="R3" s="33"/>
      <c r="S3" s="38"/>
      <c r="T3" s="33">
        <v>0</v>
      </c>
      <c r="U3" s="34">
        <f t="shared" si="0"/>
        <v>36</v>
      </c>
      <c r="V3" s="35">
        <f t="shared" si="1"/>
        <v>0</v>
      </c>
      <c r="W3" s="35">
        <f t="shared" si="2"/>
        <v>36</v>
      </c>
      <c r="X3" s="36"/>
      <c r="Y3" s="14" t="s">
        <v>13</v>
      </c>
      <c r="Z3" s="33">
        <f t="shared" si="3"/>
        <v>36</v>
      </c>
      <c r="AA3" s="37" t="s">
        <v>13</v>
      </c>
      <c r="AC3" s="30"/>
      <c r="AD3" s="30"/>
      <c r="AE3" s="30"/>
      <c r="AF3" s="30"/>
      <c r="AG3" s="30"/>
      <c r="AH3" s="30"/>
    </row>
    <row r="4" spans="1:34" ht="13.5" customHeight="1">
      <c r="A4" s="31" t="s">
        <v>14</v>
      </c>
      <c r="B4" s="32">
        <v>29</v>
      </c>
      <c r="C4" s="32">
        <v>21</v>
      </c>
      <c r="D4" s="32">
        <v>29</v>
      </c>
      <c r="E4" s="32">
        <v>13</v>
      </c>
      <c r="F4" s="32">
        <v>13</v>
      </c>
      <c r="G4" s="32">
        <v>0</v>
      </c>
      <c r="H4" s="32">
        <v>0</v>
      </c>
      <c r="I4" s="32">
        <v>16</v>
      </c>
      <c r="J4" s="32">
        <v>16</v>
      </c>
      <c r="K4" s="33">
        <v>0</v>
      </c>
      <c r="L4" s="33">
        <v>0</v>
      </c>
      <c r="M4" s="33">
        <v>0</v>
      </c>
      <c r="N4" s="33">
        <v>0</v>
      </c>
      <c r="O4" s="32">
        <v>0</v>
      </c>
      <c r="P4" s="32">
        <v>0</v>
      </c>
      <c r="Q4" s="33"/>
      <c r="R4" s="33"/>
      <c r="S4" s="38"/>
      <c r="T4" s="33">
        <v>0</v>
      </c>
      <c r="U4" s="34">
        <f t="shared" si="0"/>
        <v>105</v>
      </c>
      <c r="V4" s="35">
        <f t="shared" si="1"/>
        <v>32</v>
      </c>
      <c r="W4" s="35">
        <f t="shared" si="2"/>
        <v>137</v>
      </c>
      <c r="X4" s="36"/>
      <c r="Y4" s="14" t="s">
        <v>14</v>
      </c>
      <c r="Z4" s="33">
        <f t="shared" si="3"/>
        <v>137</v>
      </c>
      <c r="AA4" s="37" t="s">
        <v>14</v>
      </c>
      <c r="AB4" s="30"/>
      <c r="AC4" s="30"/>
      <c r="AD4" s="30"/>
      <c r="AE4" s="30"/>
      <c r="AF4" s="30"/>
      <c r="AG4" s="30"/>
      <c r="AH4" s="30"/>
    </row>
    <row r="5" spans="1:34" ht="13.5" customHeight="1">
      <c r="A5" s="31" t="s">
        <v>15</v>
      </c>
      <c r="B5" s="32">
        <v>0</v>
      </c>
      <c r="C5" s="32">
        <v>0</v>
      </c>
      <c r="D5" s="32">
        <v>8</v>
      </c>
      <c r="E5" s="32">
        <v>12</v>
      </c>
      <c r="F5" s="32">
        <v>4</v>
      </c>
      <c r="G5" s="32">
        <v>0</v>
      </c>
      <c r="H5" s="32">
        <v>0</v>
      </c>
      <c r="I5" s="32">
        <v>0</v>
      </c>
      <c r="J5" s="32">
        <v>0</v>
      </c>
      <c r="K5" s="33">
        <v>0</v>
      </c>
      <c r="L5" s="33">
        <v>0</v>
      </c>
      <c r="M5" s="33">
        <v>0</v>
      </c>
      <c r="N5" s="33">
        <v>0</v>
      </c>
      <c r="O5" s="32">
        <v>0</v>
      </c>
      <c r="P5" s="32">
        <v>0</v>
      </c>
      <c r="Q5" s="33">
        <v>0</v>
      </c>
      <c r="R5" s="33"/>
      <c r="S5" s="38"/>
      <c r="T5" s="33">
        <v>0</v>
      </c>
      <c r="U5" s="34">
        <f t="shared" si="0"/>
        <v>24</v>
      </c>
      <c r="V5" s="35">
        <f t="shared" si="1"/>
        <v>0</v>
      </c>
      <c r="W5" s="35">
        <f t="shared" si="2"/>
        <v>24</v>
      </c>
      <c r="X5" s="36"/>
      <c r="Y5" s="14" t="s">
        <v>15</v>
      </c>
      <c r="Z5" s="33">
        <f t="shared" si="3"/>
        <v>24</v>
      </c>
      <c r="AA5" s="37" t="s">
        <v>15</v>
      </c>
      <c r="AB5" s="30"/>
      <c r="AC5" s="30"/>
      <c r="AD5" s="30"/>
      <c r="AE5" s="30"/>
      <c r="AF5" s="30"/>
      <c r="AG5" s="30"/>
      <c r="AH5" s="30"/>
    </row>
    <row r="6" spans="1:34" ht="13.5" customHeight="1">
      <c r="A6" s="31" t="s">
        <v>16</v>
      </c>
      <c r="B6" s="32">
        <v>9</v>
      </c>
      <c r="C6" s="32">
        <v>5</v>
      </c>
      <c r="D6" s="32">
        <v>11</v>
      </c>
      <c r="E6" s="32">
        <v>8</v>
      </c>
      <c r="F6" s="32">
        <v>16</v>
      </c>
      <c r="G6" s="32">
        <v>0</v>
      </c>
      <c r="H6" s="32">
        <v>0</v>
      </c>
      <c r="I6" s="32">
        <v>0</v>
      </c>
      <c r="J6" s="32">
        <v>0</v>
      </c>
      <c r="K6" s="33">
        <v>0</v>
      </c>
      <c r="L6" s="33">
        <v>0</v>
      </c>
      <c r="M6" s="33">
        <v>0</v>
      </c>
      <c r="N6" s="33">
        <v>0</v>
      </c>
      <c r="O6" s="32">
        <v>56</v>
      </c>
      <c r="P6" s="32">
        <v>0</v>
      </c>
      <c r="Q6" s="33">
        <v>0</v>
      </c>
      <c r="R6" s="33"/>
      <c r="S6" s="38"/>
      <c r="T6" s="33">
        <v>0</v>
      </c>
      <c r="U6" s="34">
        <f t="shared" si="0"/>
        <v>49</v>
      </c>
      <c r="V6" s="35">
        <f t="shared" si="1"/>
        <v>56</v>
      </c>
      <c r="W6" s="35">
        <f t="shared" si="2"/>
        <v>105</v>
      </c>
      <c r="X6" s="36"/>
      <c r="Y6" s="14" t="s">
        <v>16</v>
      </c>
      <c r="Z6" s="33">
        <f t="shared" si="3"/>
        <v>105</v>
      </c>
      <c r="AA6" s="37" t="s">
        <v>16</v>
      </c>
      <c r="AB6" s="30"/>
      <c r="AC6" s="30"/>
      <c r="AD6" s="30"/>
      <c r="AE6" s="30"/>
      <c r="AF6" s="30"/>
      <c r="AG6" s="30"/>
      <c r="AH6" s="30"/>
    </row>
    <row r="7" spans="1:34" ht="15">
      <c r="A7" s="31" t="s">
        <v>17</v>
      </c>
      <c r="B7" s="32">
        <v>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3">
        <v>0</v>
      </c>
      <c r="I7" s="32">
        <v>0</v>
      </c>
      <c r="J7" s="32">
        <v>0</v>
      </c>
      <c r="K7" s="33">
        <v>0</v>
      </c>
      <c r="L7" s="33">
        <v>0</v>
      </c>
      <c r="M7" s="33">
        <v>0</v>
      </c>
      <c r="N7" s="33">
        <v>0</v>
      </c>
      <c r="O7" s="32">
        <v>24</v>
      </c>
      <c r="P7" s="32">
        <v>0</v>
      </c>
      <c r="Q7" s="33"/>
      <c r="R7" s="33"/>
      <c r="S7" s="38"/>
      <c r="T7" s="33">
        <v>0</v>
      </c>
      <c r="U7" s="34">
        <f t="shared" si="0"/>
        <v>0</v>
      </c>
      <c r="V7" s="35">
        <f t="shared" si="1"/>
        <v>24</v>
      </c>
      <c r="W7" s="35">
        <f t="shared" si="2"/>
        <v>24</v>
      </c>
      <c r="X7" s="36"/>
      <c r="Y7" s="14" t="s">
        <v>17</v>
      </c>
      <c r="Z7" s="33">
        <f t="shared" si="3"/>
        <v>24</v>
      </c>
      <c r="AA7" s="37" t="s">
        <v>17</v>
      </c>
      <c r="AB7" s="30"/>
      <c r="AC7" s="30"/>
      <c r="AD7" s="30"/>
      <c r="AE7" s="30"/>
      <c r="AF7" s="30"/>
      <c r="AG7" s="30"/>
      <c r="AH7" s="30"/>
    </row>
    <row r="8" spans="1:34" ht="15">
      <c r="A8" s="31" t="s">
        <v>18</v>
      </c>
      <c r="B8" s="32">
        <v>0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3">
        <v>0</v>
      </c>
      <c r="L8" s="33">
        <v>0</v>
      </c>
      <c r="M8" s="33">
        <v>0</v>
      </c>
      <c r="N8" s="33">
        <v>0</v>
      </c>
      <c r="O8" s="32">
        <v>0</v>
      </c>
      <c r="P8" s="32">
        <v>0</v>
      </c>
      <c r="Q8" s="33">
        <v>0</v>
      </c>
      <c r="R8" s="33"/>
      <c r="S8" s="38"/>
      <c r="T8" s="33">
        <v>0</v>
      </c>
      <c r="U8" s="34">
        <f t="shared" si="0"/>
        <v>0</v>
      </c>
      <c r="V8" s="35">
        <f t="shared" si="1"/>
        <v>0</v>
      </c>
      <c r="W8" s="35">
        <f t="shared" si="2"/>
        <v>0</v>
      </c>
      <c r="X8" s="36"/>
      <c r="Y8" s="14" t="s">
        <v>18</v>
      </c>
      <c r="Z8" s="33">
        <f t="shared" si="3"/>
        <v>0</v>
      </c>
      <c r="AA8" s="37" t="s">
        <v>18</v>
      </c>
      <c r="AC8" s="30"/>
      <c r="AD8" s="30"/>
      <c r="AE8" s="30"/>
      <c r="AF8" s="30"/>
      <c r="AG8" s="30"/>
      <c r="AH8" s="30"/>
    </row>
    <row r="9" spans="1:34" ht="15">
      <c r="A9" s="31" t="s">
        <v>19</v>
      </c>
      <c r="B9" s="32">
        <v>0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3">
        <v>0</v>
      </c>
      <c r="L9" s="33">
        <v>0</v>
      </c>
      <c r="M9" s="33">
        <v>0</v>
      </c>
      <c r="N9" s="33">
        <v>0</v>
      </c>
      <c r="O9" s="32">
        <v>0</v>
      </c>
      <c r="P9" s="32">
        <v>0</v>
      </c>
      <c r="Q9" s="33">
        <v>0</v>
      </c>
      <c r="R9" s="33"/>
      <c r="S9" s="38"/>
      <c r="T9" s="33">
        <v>0</v>
      </c>
      <c r="U9" s="34">
        <f t="shared" si="0"/>
        <v>0</v>
      </c>
      <c r="V9" s="35">
        <f t="shared" si="1"/>
        <v>0</v>
      </c>
      <c r="W9" s="35">
        <f t="shared" si="2"/>
        <v>0</v>
      </c>
      <c r="X9" s="36"/>
      <c r="Y9" s="14" t="s">
        <v>19</v>
      </c>
      <c r="Z9" s="33">
        <f t="shared" si="3"/>
        <v>0</v>
      </c>
      <c r="AA9" s="37" t="s">
        <v>19</v>
      </c>
      <c r="AC9" s="30"/>
      <c r="AD9" s="30"/>
      <c r="AE9" s="30"/>
      <c r="AF9" s="30"/>
      <c r="AG9" s="30"/>
      <c r="AH9" s="30"/>
    </row>
    <row r="10" spans="1:34" ht="15">
      <c r="A10" s="39" t="s">
        <v>20</v>
      </c>
      <c r="B10" s="40">
        <v>0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/>
      <c r="S10" s="41"/>
      <c r="T10" s="40">
        <v>0</v>
      </c>
      <c r="U10" s="34">
        <f t="shared" si="0"/>
        <v>0</v>
      </c>
      <c r="V10" s="35">
        <f t="shared" si="1"/>
        <v>0</v>
      </c>
      <c r="W10" s="35">
        <f t="shared" si="2"/>
        <v>0</v>
      </c>
      <c r="X10" s="36"/>
      <c r="Y10" s="16" t="s">
        <v>20</v>
      </c>
      <c r="Z10" s="33">
        <f t="shared" si="3"/>
        <v>0</v>
      </c>
      <c r="AA10" s="40" t="s">
        <v>20</v>
      </c>
      <c r="AB10" s="30"/>
      <c r="AC10" s="30"/>
      <c r="AD10" s="30"/>
      <c r="AE10" s="30"/>
      <c r="AF10" s="30"/>
      <c r="AG10" s="30"/>
      <c r="AH10" s="30"/>
    </row>
    <row r="11" spans="1:34" ht="15">
      <c r="A11" s="20">
        <v>582</v>
      </c>
      <c r="B11" s="32">
        <v>45</v>
      </c>
      <c r="C11" s="32">
        <v>6</v>
      </c>
      <c r="D11" s="32">
        <v>33</v>
      </c>
      <c r="E11" s="32">
        <v>24</v>
      </c>
      <c r="F11" s="32">
        <v>24</v>
      </c>
      <c r="G11" s="32">
        <v>0</v>
      </c>
      <c r="H11" s="32">
        <v>0</v>
      </c>
      <c r="I11" s="32">
        <v>0</v>
      </c>
      <c r="J11" s="32">
        <v>24</v>
      </c>
      <c r="K11" s="33">
        <v>0</v>
      </c>
      <c r="L11" s="33">
        <v>0</v>
      </c>
      <c r="M11" s="33">
        <v>0</v>
      </c>
      <c r="N11" s="33">
        <v>0</v>
      </c>
      <c r="O11" s="32">
        <v>0</v>
      </c>
      <c r="P11" s="32">
        <v>0</v>
      </c>
      <c r="Q11" s="33">
        <v>0</v>
      </c>
      <c r="R11" s="33"/>
      <c r="S11" s="38"/>
      <c r="T11" s="33">
        <v>0</v>
      </c>
      <c r="U11" s="34">
        <f t="shared" si="0"/>
        <v>132</v>
      </c>
      <c r="V11" s="35">
        <f t="shared" si="1"/>
        <v>24</v>
      </c>
      <c r="W11" s="35">
        <f t="shared" si="2"/>
        <v>156</v>
      </c>
      <c r="X11" s="36"/>
      <c r="Y11" s="17">
        <v>582</v>
      </c>
      <c r="Z11" s="33">
        <f t="shared" si="3"/>
        <v>156</v>
      </c>
      <c r="AA11" s="40">
        <v>582</v>
      </c>
      <c r="AB11" s="30"/>
      <c r="AC11" s="30"/>
      <c r="AD11" s="30"/>
      <c r="AE11" s="30"/>
      <c r="AF11" s="30"/>
      <c r="AG11" s="30"/>
      <c r="AH11" s="30"/>
    </row>
    <row r="12" spans="1:34" ht="14.25" customHeight="1">
      <c r="A12" s="20">
        <v>739</v>
      </c>
      <c r="B12" s="32">
        <v>3</v>
      </c>
      <c r="C12" s="32">
        <v>2</v>
      </c>
      <c r="D12" s="32">
        <v>2</v>
      </c>
      <c r="E12" s="32">
        <v>0</v>
      </c>
      <c r="F12" s="32">
        <v>8</v>
      </c>
      <c r="G12" s="32">
        <v>0</v>
      </c>
      <c r="H12" s="32">
        <v>0</v>
      </c>
      <c r="I12" s="32">
        <v>0</v>
      </c>
      <c r="J12" s="32">
        <v>0</v>
      </c>
      <c r="K12" s="33">
        <v>0</v>
      </c>
      <c r="L12" s="33">
        <v>0</v>
      </c>
      <c r="M12" s="33">
        <v>0</v>
      </c>
      <c r="N12" s="33">
        <v>0</v>
      </c>
      <c r="O12" s="32">
        <v>0</v>
      </c>
      <c r="P12" s="32">
        <v>0</v>
      </c>
      <c r="Q12" s="33">
        <v>0</v>
      </c>
      <c r="R12" s="33"/>
      <c r="S12" s="38"/>
      <c r="T12" s="33">
        <v>0</v>
      </c>
      <c r="U12" s="34">
        <f t="shared" si="0"/>
        <v>15</v>
      </c>
      <c r="V12" s="35">
        <f t="shared" si="1"/>
        <v>0</v>
      </c>
      <c r="W12" s="35">
        <f t="shared" si="2"/>
        <v>15</v>
      </c>
      <c r="X12" s="36"/>
      <c r="Y12" s="17">
        <v>739</v>
      </c>
      <c r="Z12" s="33">
        <f t="shared" si="3"/>
        <v>15</v>
      </c>
      <c r="AA12" s="40">
        <v>739</v>
      </c>
      <c r="AB12" s="30"/>
      <c r="AC12" s="30"/>
      <c r="AD12" s="30"/>
      <c r="AE12" s="30"/>
      <c r="AF12" s="30"/>
      <c r="AG12" s="30"/>
      <c r="AH12" s="30"/>
    </row>
    <row r="13" spans="1:34" ht="15">
      <c r="A13" s="20">
        <v>137</v>
      </c>
      <c r="B13" s="32">
        <v>14</v>
      </c>
      <c r="C13" s="32">
        <v>5</v>
      </c>
      <c r="D13" s="32">
        <v>19</v>
      </c>
      <c r="E13" s="32">
        <v>28</v>
      </c>
      <c r="F13" s="32">
        <v>20</v>
      </c>
      <c r="G13" s="32">
        <v>0</v>
      </c>
      <c r="H13" s="32">
        <v>0</v>
      </c>
      <c r="I13" s="32">
        <v>0</v>
      </c>
      <c r="J13" s="32">
        <v>8</v>
      </c>
      <c r="K13" s="33">
        <v>0</v>
      </c>
      <c r="L13" s="33">
        <v>0</v>
      </c>
      <c r="M13" s="33">
        <v>0</v>
      </c>
      <c r="N13" s="33">
        <v>0</v>
      </c>
      <c r="O13" s="32">
        <v>0</v>
      </c>
      <c r="P13" s="32">
        <v>0</v>
      </c>
      <c r="Q13" s="33">
        <v>0</v>
      </c>
      <c r="R13" s="33"/>
      <c r="S13" s="38"/>
      <c r="T13" s="33">
        <v>0</v>
      </c>
      <c r="U13" s="34">
        <f t="shared" si="0"/>
        <v>86</v>
      </c>
      <c r="V13" s="35">
        <f t="shared" si="1"/>
        <v>8</v>
      </c>
      <c r="W13" s="35">
        <f t="shared" si="2"/>
        <v>94</v>
      </c>
      <c r="X13" s="36"/>
      <c r="Y13" s="17">
        <v>137</v>
      </c>
      <c r="Z13" s="33">
        <f t="shared" si="3"/>
        <v>94</v>
      </c>
      <c r="AA13" s="40">
        <v>137</v>
      </c>
      <c r="AB13" s="30"/>
      <c r="AC13" s="30"/>
      <c r="AD13" s="30"/>
      <c r="AE13" s="30"/>
      <c r="AF13" s="30"/>
      <c r="AG13" s="30"/>
      <c r="AH13" s="30"/>
    </row>
    <row r="14" spans="1:34" ht="15">
      <c r="A14" s="20">
        <v>762</v>
      </c>
      <c r="B14" s="32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3">
        <v>0</v>
      </c>
      <c r="L14" s="33">
        <v>0</v>
      </c>
      <c r="M14" s="33">
        <v>0</v>
      </c>
      <c r="N14" s="33">
        <v>0</v>
      </c>
      <c r="O14" s="32">
        <v>0</v>
      </c>
      <c r="P14" s="32">
        <v>0</v>
      </c>
      <c r="Q14" s="33">
        <v>0</v>
      </c>
      <c r="R14" s="33"/>
      <c r="S14" s="38"/>
      <c r="T14" s="33">
        <v>0</v>
      </c>
      <c r="U14" s="34">
        <f t="shared" si="0"/>
        <v>0</v>
      </c>
      <c r="V14" s="35">
        <f t="shared" si="1"/>
        <v>0</v>
      </c>
      <c r="W14" s="35">
        <f t="shared" si="2"/>
        <v>0</v>
      </c>
      <c r="X14" s="36"/>
      <c r="Y14" s="17">
        <v>762</v>
      </c>
      <c r="Z14" s="33">
        <f t="shared" si="3"/>
        <v>0</v>
      </c>
      <c r="AA14" s="40">
        <v>762</v>
      </c>
      <c r="AB14" s="30"/>
      <c r="AC14" s="30"/>
      <c r="AD14" s="30"/>
      <c r="AE14" s="30"/>
      <c r="AF14" s="30"/>
      <c r="AG14" s="30"/>
      <c r="AH14" s="30"/>
    </row>
    <row r="15" spans="1:34" ht="15">
      <c r="A15" s="20">
        <v>147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3">
        <v>0</v>
      </c>
      <c r="L15" s="33">
        <v>0</v>
      </c>
      <c r="M15" s="33">
        <v>0</v>
      </c>
      <c r="N15" s="33">
        <v>0</v>
      </c>
      <c r="O15" s="32">
        <v>0</v>
      </c>
      <c r="P15" s="32">
        <v>0</v>
      </c>
      <c r="Q15" s="33">
        <v>0</v>
      </c>
      <c r="R15" s="33"/>
      <c r="S15" s="38"/>
      <c r="T15" s="33">
        <v>0</v>
      </c>
      <c r="U15" s="34">
        <f t="shared" si="0"/>
        <v>0</v>
      </c>
      <c r="V15" s="35">
        <f t="shared" si="1"/>
        <v>0</v>
      </c>
      <c r="W15" s="35">
        <f t="shared" si="2"/>
        <v>0</v>
      </c>
      <c r="X15" s="36"/>
      <c r="Y15" s="17">
        <v>147</v>
      </c>
      <c r="Z15" s="33">
        <f t="shared" si="3"/>
        <v>0</v>
      </c>
      <c r="AA15" s="40">
        <v>147</v>
      </c>
      <c r="AB15" s="30"/>
      <c r="AC15" s="30"/>
      <c r="AD15" s="30"/>
      <c r="AE15" s="30"/>
      <c r="AF15" s="30"/>
      <c r="AG15" s="30"/>
      <c r="AH15" s="30"/>
    </row>
    <row r="16" spans="1:34" ht="15">
      <c r="A16" s="20">
        <v>148</v>
      </c>
      <c r="B16" s="32">
        <v>24</v>
      </c>
      <c r="C16" s="32">
        <v>29</v>
      </c>
      <c r="D16" s="32">
        <v>29</v>
      </c>
      <c r="E16" s="32">
        <v>32</v>
      </c>
      <c r="F16" s="32">
        <v>22</v>
      </c>
      <c r="G16" s="38"/>
      <c r="H16" s="38"/>
      <c r="I16" s="38"/>
      <c r="J16" s="38"/>
      <c r="K16" s="42"/>
      <c r="L16" s="42"/>
      <c r="M16" s="42"/>
      <c r="N16" s="42"/>
      <c r="O16" s="38"/>
      <c r="P16" s="38"/>
      <c r="Q16" s="42"/>
      <c r="R16" s="33"/>
      <c r="S16" s="32"/>
      <c r="T16" s="43"/>
      <c r="U16" s="34">
        <f t="shared" si="0"/>
        <v>136</v>
      </c>
      <c r="V16" s="35">
        <f t="shared" si="1"/>
        <v>0</v>
      </c>
      <c r="W16" s="35">
        <f t="shared" si="2"/>
        <v>136</v>
      </c>
      <c r="X16" s="36"/>
      <c r="Y16" s="18" t="s">
        <v>21</v>
      </c>
      <c r="Z16" s="33">
        <f t="shared" si="3"/>
        <v>136</v>
      </c>
      <c r="AA16" s="44"/>
      <c r="AB16" s="30"/>
      <c r="AC16" s="30"/>
      <c r="AD16" s="30"/>
      <c r="AE16" s="30"/>
      <c r="AF16" s="30"/>
      <c r="AG16" s="30"/>
      <c r="AH16" s="30"/>
    </row>
    <row r="17" spans="1:34" ht="15">
      <c r="A17" s="45" t="s">
        <v>22</v>
      </c>
      <c r="B17" s="32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3">
        <v>0</v>
      </c>
      <c r="I17" s="32">
        <v>0</v>
      </c>
      <c r="J17" s="32">
        <v>0</v>
      </c>
      <c r="K17" s="33">
        <v>0</v>
      </c>
      <c r="L17" s="33">
        <v>0</v>
      </c>
      <c r="M17" s="33">
        <v>0</v>
      </c>
      <c r="N17" s="33">
        <v>0</v>
      </c>
      <c r="O17" s="32">
        <v>0</v>
      </c>
      <c r="P17" s="32">
        <v>0</v>
      </c>
      <c r="Q17" s="33">
        <v>0</v>
      </c>
      <c r="R17" s="33"/>
      <c r="S17" s="38"/>
      <c r="T17" s="33">
        <v>0</v>
      </c>
      <c r="U17" s="34">
        <f t="shared" si="0"/>
        <v>0</v>
      </c>
      <c r="V17" s="35">
        <f t="shared" si="1"/>
        <v>0</v>
      </c>
      <c r="W17" s="35">
        <f t="shared" si="2"/>
        <v>0</v>
      </c>
      <c r="X17" s="36"/>
      <c r="Y17" s="19" t="s">
        <v>22</v>
      </c>
      <c r="Z17" s="33">
        <f t="shared" si="3"/>
        <v>0</v>
      </c>
      <c r="AA17" s="37" t="s">
        <v>22</v>
      </c>
      <c r="AB17" s="30"/>
      <c r="AC17" s="30"/>
      <c r="AD17" s="30"/>
      <c r="AE17" s="30"/>
      <c r="AF17" s="30"/>
      <c r="AG17" s="30"/>
      <c r="AH17" s="30"/>
    </row>
    <row r="18" spans="1:34" ht="15">
      <c r="A18" s="20">
        <v>984</v>
      </c>
      <c r="B18" s="32"/>
      <c r="C18" s="32"/>
      <c r="D18" s="32"/>
      <c r="E18" s="32"/>
      <c r="F18" s="32"/>
      <c r="G18" s="32"/>
      <c r="H18" s="33"/>
      <c r="I18" s="32"/>
      <c r="J18" s="32"/>
      <c r="K18" s="33"/>
      <c r="L18" s="33"/>
      <c r="M18" s="33"/>
      <c r="N18" s="33"/>
      <c r="O18" s="32"/>
      <c r="P18" s="32"/>
      <c r="Q18" s="33"/>
      <c r="R18" s="33"/>
      <c r="S18" s="38"/>
      <c r="T18" s="33"/>
      <c r="U18" s="34">
        <f t="shared" si="0"/>
        <v>0</v>
      </c>
      <c r="V18" s="35">
        <f t="shared" si="1"/>
        <v>0</v>
      </c>
      <c r="W18" s="35">
        <f t="shared" si="2"/>
        <v>0</v>
      </c>
      <c r="X18" s="36"/>
      <c r="Y18" s="17">
        <v>985</v>
      </c>
      <c r="Z18" s="33">
        <f>W20</f>
        <v>0</v>
      </c>
      <c r="AA18" s="40">
        <v>557</v>
      </c>
      <c r="AD18" s="30"/>
      <c r="AE18" s="30"/>
      <c r="AF18" s="30"/>
      <c r="AG18" s="30"/>
      <c r="AH18" s="30"/>
    </row>
    <row r="19" spans="1:34" ht="15">
      <c r="A19" s="20">
        <v>557</v>
      </c>
      <c r="B19" s="32">
        <v>0</v>
      </c>
      <c r="C19" s="32">
        <v>0</v>
      </c>
      <c r="D19" s="32">
        <v>0</v>
      </c>
      <c r="E19" s="32">
        <v>0</v>
      </c>
      <c r="F19" s="32">
        <v>2</v>
      </c>
      <c r="G19" s="32">
        <v>0</v>
      </c>
      <c r="H19" s="33">
        <v>0</v>
      </c>
      <c r="I19" s="32">
        <v>0</v>
      </c>
      <c r="J19" s="32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/>
      <c r="S19" s="46"/>
      <c r="T19" s="33">
        <v>0</v>
      </c>
      <c r="U19" s="34">
        <f t="shared" si="0"/>
        <v>2</v>
      </c>
      <c r="V19" s="35">
        <f t="shared" si="1"/>
        <v>0</v>
      </c>
      <c r="W19" s="35">
        <f t="shared" si="2"/>
        <v>2</v>
      </c>
      <c r="X19" s="36"/>
      <c r="Y19" s="17">
        <v>557</v>
      </c>
      <c r="Z19" s="33">
        <f>W19</f>
        <v>2</v>
      </c>
      <c r="AA19" s="40"/>
      <c r="AB19" s="30"/>
      <c r="AC19" s="30"/>
      <c r="AD19" s="30"/>
      <c r="AE19" s="30"/>
      <c r="AF19" s="30"/>
      <c r="AG19" s="30"/>
      <c r="AH19" s="30"/>
    </row>
    <row r="20" spans="1:34" ht="15">
      <c r="A20" s="47"/>
      <c r="B20" s="48"/>
      <c r="C20" s="48"/>
      <c r="D20" s="48"/>
      <c r="E20" s="48"/>
      <c r="F20" s="48"/>
      <c r="G20" s="48"/>
      <c r="H20" s="49"/>
      <c r="I20" s="48"/>
      <c r="J20" s="48"/>
      <c r="K20" s="49"/>
      <c r="L20" s="49"/>
      <c r="M20" s="49"/>
      <c r="N20" s="49"/>
      <c r="O20" s="48"/>
      <c r="P20" s="49"/>
      <c r="Q20" s="49"/>
      <c r="R20" s="49"/>
      <c r="S20" s="50"/>
      <c r="T20" s="49"/>
      <c r="U20" s="34">
        <f t="shared" si="0"/>
        <v>0</v>
      </c>
      <c r="V20" s="35">
        <f t="shared" si="1"/>
        <v>0</v>
      </c>
      <c r="W20" s="35">
        <f t="shared" si="2"/>
        <v>0</v>
      </c>
      <c r="X20" s="36"/>
      <c r="Y20" s="22" t="s">
        <v>23</v>
      </c>
      <c r="Z20" s="33">
        <f>SUM(W21:W32)</f>
        <v>1</v>
      </c>
      <c r="AA20" s="37" t="s">
        <v>23</v>
      </c>
      <c r="AB20" s="30"/>
      <c r="AC20" s="30"/>
      <c r="AD20" s="30"/>
      <c r="AE20" s="30"/>
      <c r="AF20" s="30"/>
      <c r="AG20" s="30"/>
      <c r="AH20" s="30"/>
    </row>
    <row r="21" spans="1:34" ht="15">
      <c r="A21" s="51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3"/>
      <c r="I21" s="52">
        <v>0</v>
      </c>
      <c r="J21" s="52">
        <v>0</v>
      </c>
      <c r="K21" s="54"/>
      <c r="L21" s="54"/>
      <c r="M21" s="55"/>
      <c r="N21" s="55"/>
      <c r="O21" s="56">
        <v>0</v>
      </c>
      <c r="P21" s="53"/>
      <c r="Q21" s="54"/>
      <c r="R21" s="54"/>
      <c r="S21" s="53"/>
      <c r="T21" s="54"/>
      <c r="U21" s="34">
        <f t="shared" si="0"/>
        <v>0</v>
      </c>
      <c r="V21" s="35">
        <f t="shared" si="1"/>
        <v>0</v>
      </c>
      <c r="W21" s="35">
        <f t="shared" si="2"/>
        <v>0</v>
      </c>
      <c r="X21" s="36"/>
      <c r="Y21" s="22" t="s">
        <v>24</v>
      </c>
      <c r="Z21" s="33">
        <f>SUM(W33:W37)</f>
        <v>164</v>
      </c>
      <c r="AA21" s="37" t="s">
        <v>24</v>
      </c>
      <c r="AB21" s="30"/>
      <c r="AC21" s="30"/>
      <c r="AD21" s="30"/>
      <c r="AE21" s="30"/>
      <c r="AF21" s="30"/>
      <c r="AG21" s="30"/>
      <c r="AH21" s="30"/>
    </row>
    <row r="22" spans="1:34" ht="15">
      <c r="A22" s="57" t="s">
        <v>51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3"/>
      <c r="I22" s="52">
        <v>0</v>
      </c>
      <c r="J22" s="52">
        <v>0</v>
      </c>
      <c r="K22" s="53"/>
      <c r="L22" s="53"/>
      <c r="M22" s="53"/>
      <c r="N22" s="53"/>
      <c r="O22" s="56">
        <v>0</v>
      </c>
      <c r="P22" s="53"/>
      <c r="Q22" s="54"/>
      <c r="R22" s="54"/>
      <c r="S22" s="53"/>
      <c r="T22" s="54"/>
      <c r="U22" s="34">
        <f t="shared" si="0"/>
        <v>0</v>
      </c>
      <c r="V22" s="35">
        <f t="shared" si="1"/>
        <v>0</v>
      </c>
      <c r="W22" s="35">
        <f t="shared" si="2"/>
        <v>0</v>
      </c>
      <c r="X22" s="36"/>
      <c r="Y22" s="23" t="s">
        <v>25</v>
      </c>
      <c r="Z22" s="33">
        <f>SUM(W39:W50)</f>
        <v>285</v>
      </c>
      <c r="AA22" s="40" t="s">
        <v>25</v>
      </c>
      <c r="AB22" s="30"/>
      <c r="AC22" s="30"/>
      <c r="AD22" s="30"/>
      <c r="AE22" s="30"/>
      <c r="AF22" s="30"/>
      <c r="AG22" s="30"/>
      <c r="AH22" s="30"/>
    </row>
    <row r="23" spans="1:34" ht="15">
      <c r="A23" s="57" t="s">
        <v>52</v>
      </c>
      <c r="B23" s="52">
        <v>0</v>
      </c>
      <c r="C23" s="52">
        <v>0</v>
      </c>
      <c r="D23" s="52">
        <v>0</v>
      </c>
      <c r="E23" s="52">
        <v>0</v>
      </c>
      <c r="F23" s="52">
        <v>0</v>
      </c>
      <c r="G23" s="58"/>
      <c r="H23" s="53"/>
      <c r="I23" s="58"/>
      <c r="J23" s="58"/>
      <c r="K23" s="53"/>
      <c r="L23" s="53"/>
      <c r="M23" s="53"/>
      <c r="N23" s="53"/>
      <c r="O23" s="52">
        <v>0</v>
      </c>
      <c r="P23" s="53"/>
      <c r="Q23" s="54"/>
      <c r="R23" s="54"/>
      <c r="S23" s="53"/>
      <c r="T23" s="54"/>
      <c r="U23" s="34">
        <f t="shared" si="0"/>
        <v>0</v>
      </c>
      <c r="V23" s="35">
        <f t="shared" si="1"/>
        <v>0</v>
      </c>
      <c r="W23" s="35">
        <f t="shared" si="2"/>
        <v>0</v>
      </c>
      <c r="X23" s="36"/>
      <c r="Y23" s="23" t="s">
        <v>26</v>
      </c>
      <c r="Z23" s="33">
        <f t="shared" si="4" ref="Z23:Z25">W52</f>
        <v>0</v>
      </c>
      <c r="AA23" s="40" t="s">
        <v>26</v>
      </c>
      <c r="AB23" s="30"/>
      <c r="AC23" s="30"/>
      <c r="AD23" s="30"/>
      <c r="AE23" s="30"/>
      <c r="AF23" s="30"/>
      <c r="AG23" s="30"/>
      <c r="AH23" s="30"/>
    </row>
    <row r="24" spans="1:34" ht="12.75" customHeight="1">
      <c r="A24" s="57" t="s">
        <v>53</v>
      </c>
      <c r="B24" s="52">
        <v>0</v>
      </c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3"/>
      <c r="I24" s="52">
        <v>0</v>
      </c>
      <c r="J24" s="52">
        <v>0</v>
      </c>
      <c r="K24" s="53"/>
      <c r="L24" s="53"/>
      <c r="M24" s="53"/>
      <c r="N24" s="53"/>
      <c r="O24" s="56">
        <v>0</v>
      </c>
      <c r="P24" s="53"/>
      <c r="Q24" s="52"/>
      <c r="R24" s="52"/>
      <c r="S24" s="53"/>
      <c r="T24" s="53"/>
      <c r="U24" s="34">
        <f t="shared" si="0"/>
        <v>0</v>
      </c>
      <c r="V24" s="35">
        <f t="shared" si="1"/>
        <v>0</v>
      </c>
      <c r="W24" s="35">
        <f t="shared" si="2"/>
        <v>0</v>
      </c>
      <c r="X24" s="36"/>
      <c r="Y24" s="23" t="s">
        <v>27</v>
      </c>
      <c r="Z24" s="33">
        <f t="shared" si="4"/>
        <v>76</v>
      </c>
      <c r="AA24" s="40" t="s">
        <v>27</v>
      </c>
      <c r="AB24" s="30"/>
      <c r="AC24" s="30"/>
      <c r="AD24" s="30"/>
      <c r="AE24" s="30"/>
      <c r="AF24" s="30"/>
      <c r="AG24" s="30"/>
      <c r="AH24" s="30"/>
    </row>
    <row r="25" spans="1:34" ht="12.75" customHeight="1">
      <c r="A25" s="57" t="s">
        <v>54</v>
      </c>
      <c r="B25" s="52">
        <v>0</v>
      </c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3"/>
      <c r="I25" s="52">
        <v>0</v>
      </c>
      <c r="J25" s="52">
        <v>0</v>
      </c>
      <c r="K25" s="53"/>
      <c r="L25" s="53"/>
      <c r="M25" s="53"/>
      <c r="N25" s="53"/>
      <c r="O25" s="56">
        <v>0</v>
      </c>
      <c r="P25" s="53"/>
      <c r="Q25" s="53"/>
      <c r="R25" s="53"/>
      <c r="S25" s="53"/>
      <c r="T25" s="53"/>
      <c r="U25" s="34">
        <f t="shared" si="0"/>
        <v>0</v>
      </c>
      <c r="V25" s="35">
        <f t="shared" si="1"/>
        <v>0</v>
      </c>
      <c r="W25" s="35">
        <f t="shared" si="2"/>
        <v>0</v>
      </c>
      <c r="X25" s="30"/>
      <c r="Y25" s="24" t="s">
        <v>28</v>
      </c>
      <c r="Z25" s="33">
        <f t="shared" si="4"/>
        <v>466</v>
      </c>
      <c r="AA25" s="37" t="s">
        <v>28</v>
      </c>
      <c r="AB25" s="30"/>
      <c r="AC25" s="30"/>
      <c r="AD25" s="30"/>
      <c r="AE25" s="30"/>
      <c r="AF25" s="30"/>
      <c r="AG25" s="30"/>
      <c r="AH25" s="30"/>
    </row>
    <row r="26" spans="1:34" ht="12.75" customHeight="1">
      <c r="A26" s="57" t="s">
        <v>55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3"/>
      <c r="I26" s="52">
        <v>0</v>
      </c>
      <c r="J26" s="52">
        <v>0</v>
      </c>
      <c r="K26" s="53"/>
      <c r="L26" s="53"/>
      <c r="M26" s="53"/>
      <c r="N26" s="55"/>
      <c r="O26" s="56">
        <v>0</v>
      </c>
      <c r="P26" s="53"/>
      <c r="Q26" s="53"/>
      <c r="R26" s="53"/>
      <c r="S26" s="53"/>
      <c r="T26" s="53"/>
      <c r="U26" s="34">
        <f t="shared" si="0"/>
        <v>0</v>
      </c>
      <c r="V26" s="35">
        <f t="shared" si="1"/>
        <v>0</v>
      </c>
      <c r="W26" s="35">
        <f t="shared" si="2"/>
        <v>0</v>
      </c>
      <c r="X26" s="30"/>
      <c r="Y26" s="30"/>
      <c r="AA26" s="30"/>
      <c r="AB26" s="30"/>
      <c r="AC26" s="30"/>
      <c r="AD26" s="30"/>
      <c r="AE26" s="30"/>
      <c r="AF26" s="30"/>
      <c r="AG26" s="30"/>
      <c r="AH26" s="30"/>
    </row>
    <row r="27" spans="1:34" ht="12.75" customHeight="1">
      <c r="A27" s="59" t="s">
        <v>50</v>
      </c>
      <c r="B27" s="52">
        <v>0</v>
      </c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3"/>
      <c r="I27" s="52">
        <v>0</v>
      </c>
      <c r="J27" s="52">
        <v>0</v>
      </c>
      <c r="K27" s="53"/>
      <c r="L27" s="53"/>
      <c r="M27" s="53"/>
      <c r="N27" s="53"/>
      <c r="O27" s="56">
        <v>0</v>
      </c>
      <c r="P27" s="53"/>
      <c r="Q27" s="53"/>
      <c r="R27" s="53"/>
      <c r="S27" s="53"/>
      <c r="T27" s="53"/>
      <c r="U27" s="34">
        <f t="shared" si="0"/>
        <v>0</v>
      </c>
      <c r="V27" s="35">
        <f t="shared" si="1"/>
        <v>0</v>
      </c>
      <c r="W27" s="35">
        <f t="shared" si="2"/>
        <v>0</v>
      </c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ht="12.75" customHeight="1">
      <c r="A28" s="59" t="s">
        <v>56</v>
      </c>
      <c r="B28" s="52">
        <v>0</v>
      </c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3"/>
      <c r="I28" s="52">
        <v>0</v>
      </c>
      <c r="J28" s="52">
        <v>0</v>
      </c>
      <c r="K28" s="53"/>
      <c r="L28" s="53"/>
      <c r="M28" s="53"/>
      <c r="N28" s="53"/>
      <c r="O28" s="56">
        <v>0</v>
      </c>
      <c r="P28" s="53"/>
      <c r="Q28" s="53"/>
      <c r="R28" s="53"/>
      <c r="S28" s="53"/>
      <c r="T28" s="53"/>
      <c r="U28" s="34">
        <f t="shared" si="0"/>
        <v>0</v>
      </c>
      <c r="V28" s="35">
        <f t="shared" si="1"/>
        <v>0</v>
      </c>
      <c r="W28" s="35">
        <f t="shared" si="2"/>
        <v>0</v>
      </c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ht="12.75" customHeight="1">
      <c r="A29" s="59" t="s">
        <v>57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3"/>
      <c r="I29" s="52">
        <v>0</v>
      </c>
      <c r="J29" s="52">
        <v>0</v>
      </c>
      <c r="K29" s="53"/>
      <c r="L29" s="53"/>
      <c r="M29" s="53"/>
      <c r="N29" s="53"/>
      <c r="O29" s="56">
        <v>0</v>
      </c>
      <c r="P29" s="53"/>
      <c r="Q29" s="53"/>
      <c r="R29" s="53"/>
      <c r="S29" s="53"/>
      <c r="T29" s="53"/>
      <c r="U29" s="34">
        <f t="shared" si="0"/>
        <v>0</v>
      </c>
      <c r="V29" s="35">
        <f t="shared" si="1"/>
        <v>0</v>
      </c>
      <c r="W29" s="35">
        <f t="shared" si="2"/>
        <v>0</v>
      </c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ht="12.75" customHeight="1">
      <c r="A30" s="60" t="s">
        <v>50</v>
      </c>
      <c r="B30" s="52">
        <v>0</v>
      </c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3"/>
      <c r="I30" s="52">
        <v>0</v>
      </c>
      <c r="J30" s="52">
        <v>0</v>
      </c>
      <c r="K30" s="53"/>
      <c r="L30" s="53"/>
      <c r="M30" s="53"/>
      <c r="N30" s="53"/>
      <c r="O30" s="56">
        <v>0</v>
      </c>
      <c r="P30" s="53"/>
      <c r="Q30" s="53"/>
      <c r="R30" s="53"/>
      <c r="S30" s="53"/>
      <c r="T30" s="53"/>
      <c r="U30" s="34">
        <f t="shared" si="0"/>
        <v>0</v>
      </c>
      <c r="V30" s="35">
        <f t="shared" si="1"/>
        <v>0</v>
      </c>
      <c r="W30" s="35">
        <f t="shared" si="2"/>
        <v>0</v>
      </c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ht="12.75" customHeight="1">
      <c r="A31" s="59" t="s">
        <v>58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3"/>
      <c r="I31" s="52">
        <v>0</v>
      </c>
      <c r="J31" s="52">
        <v>0</v>
      </c>
      <c r="K31" s="53"/>
      <c r="L31" s="53"/>
      <c r="M31" s="53"/>
      <c r="N31" s="53"/>
      <c r="O31" s="56">
        <v>0</v>
      </c>
      <c r="P31" s="53"/>
      <c r="Q31" s="53"/>
      <c r="R31" s="53"/>
      <c r="S31" s="53"/>
      <c r="T31" s="53"/>
      <c r="U31" s="34">
        <f t="shared" si="0"/>
        <v>0</v>
      </c>
      <c r="V31" s="35">
        <f t="shared" si="1"/>
        <v>0</v>
      </c>
      <c r="W31" s="35">
        <f t="shared" si="2"/>
        <v>0</v>
      </c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ht="13.5" customHeight="1">
      <c r="A32" s="59" t="s">
        <v>59</v>
      </c>
      <c r="B32" s="52">
        <v>0</v>
      </c>
      <c r="C32" s="52">
        <v>1</v>
      </c>
      <c r="D32" s="52">
        <v>0</v>
      </c>
      <c r="E32" s="52">
        <v>0</v>
      </c>
      <c r="F32" s="52">
        <v>0</v>
      </c>
      <c r="G32" s="52">
        <v>0</v>
      </c>
      <c r="H32" s="53"/>
      <c r="I32" s="52">
        <v>0</v>
      </c>
      <c r="J32" s="52">
        <v>0</v>
      </c>
      <c r="K32" s="53"/>
      <c r="L32" s="53"/>
      <c r="M32" s="53"/>
      <c r="N32" s="53"/>
      <c r="O32" s="56">
        <v>0</v>
      </c>
      <c r="P32" s="53"/>
      <c r="Q32" s="53"/>
      <c r="R32" s="53"/>
      <c r="S32" s="53"/>
      <c r="T32" s="54"/>
      <c r="U32" s="34">
        <f t="shared" si="0"/>
        <v>1</v>
      </c>
      <c r="V32" s="35">
        <f t="shared" si="1"/>
        <v>0</v>
      </c>
      <c r="W32" s="35">
        <f t="shared" si="2"/>
        <v>1</v>
      </c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ht="13.5" customHeight="1">
      <c r="A33" s="61" t="s">
        <v>60</v>
      </c>
      <c r="B33" s="58"/>
      <c r="C33" s="52">
        <v>48</v>
      </c>
      <c r="D33" s="52">
        <v>36</v>
      </c>
      <c r="E33" s="52">
        <v>37</v>
      </c>
      <c r="F33" s="52"/>
      <c r="G33" s="58"/>
      <c r="H33" s="53"/>
      <c r="I33" s="58"/>
      <c r="J33" s="58"/>
      <c r="K33" s="53"/>
      <c r="L33" s="53"/>
      <c r="M33" s="53"/>
      <c r="N33" s="53"/>
      <c r="O33" s="62"/>
      <c r="P33" s="53"/>
      <c r="Q33" s="53"/>
      <c r="R33" s="52"/>
      <c r="S33" s="52"/>
      <c r="T33" s="54"/>
      <c r="U33" s="34">
        <f t="shared" si="0"/>
        <v>121</v>
      </c>
      <c r="V33" s="35">
        <f t="shared" si="1"/>
        <v>0</v>
      </c>
      <c r="W33" s="35">
        <f t="shared" si="2"/>
        <v>121</v>
      </c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ht="13.5" customHeight="1">
      <c r="A34" s="59" t="s">
        <v>61</v>
      </c>
      <c r="B34" s="58"/>
      <c r="C34" s="58"/>
      <c r="D34" s="52">
        <v>9</v>
      </c>
      <c r="E34" s="52">
        <v>0</v>
      </c>
      <c r="F34" s="52">
        <v>6</v>
      </c>
      <c r="G34" s="58"/>
      <c r="H34" s="53"/>
      <c r="I34" s="58"/>
      <c r="J34" s="58"/>
      <c r="K34" s="53"/>
      <c r="L34" s="53"/>
      <c r="M34" s="53"/>
      <c r="N34" s="53"/>
      <c r="O34" s="62"/>
      <c r="P34" s="53"/>
      <c r="Q34" s="53"/>
      <c r="R34" s="53"/>
      <c r="S34" s="52"/>
      <c r="T34" s="54"/>
      <c r="U34" s="34">
        <f t="shared" si="0"/>
        <v>15</v>
      </c>
      <c r="V34" s="35">
        <f t="shared" si="1"/>
        <v>0</v>
      </c>
      <c r="W34" s="35">
        <f t="shared" si="2"/>
        <v>15</v>
      </c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ht="13.5" customHeight="1">
      <c r="A35" s="59" t="s">
        <v>62</v>
      </c>
      <c r="B35" s="52">
        <v>22</v>
      </c>
      <c r="C35" s="52">
        <v>6</v>
      </c>
      <c r="D35" s="52">
        <v>0</v>
      </c>
      <c r="E35" s="52">
        <v>0</v>
      </c>
      <c r="F35" s="52">
        <v>0</v>
      </c>
      <c r="G35" s="52">
        <v>0</v>
      </c>
      <c r="H35" s="53"/>
      <c r="I35" s="52">
        <v>0</v>
      </c>
      <c r="J35" s="52">
        <v>0</v>
      </c>
      <c r="K35" s="53"/>
      <c r="L35" s="53"/>
      <c r="M35" s="53"/>
      <c r="N35" s="53"/>
      <c r="O35" s="56">
        <v>0</v>
      </c>
      <c r="P35" s="53"/>
      <c r="Q35" s="58"/>
      <c r="R35" s="58"/>
      <c r="S35" s="53"/>
      <c r="T35" s="54"/>
      <c r="U35" s="34">
        <f t="shared" si="0"/>
        <v>28</v>
      </c>
      <c r="V35" s="35">
        <f t="shared" si="1"/>
        <v>0</v>
      </c>
      <c r="W35" s="35">
        <f t="shared" si="2"/>
        <v>28</v>
      </c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ht="13.5" customHeight="1">
      <c r="A36" s="59" t="s">
        <v>63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3"/>
      <c r="I36" s="52">
        <v>0</v>
      </c>
      <c r="J36" s="52">
        <v>0</v>
      </c>
      <c r="K36" s="53"/>
      <c r="L36" s="53"/>
      <c r="M36" s="53"/>
      <c r="N36" s="53"/>
      <c r="O36" s="56">
        <v>0</v>
      </c>
      <c r="P36" s="53"/>
      <c r="Q36" s="53"/>
      <c r="R36" s="53"/>
      <c r="S36" s="53"/>
      <c r="T36" s="53"/>
      <c r="U36" s="34">
        <f t="shared" si="0"/>
        <v>0</v>
      </c>
      <c r="V36" s="35">
        <f t="shared" si="1"/>
        <v>0</v>
      </c>
      <c r="W36" s="35">
        <f t="shared" si="2"/>
        <v>0</v>
      </c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ht="13.5" customHeight="1">
      <c r="A37" s="59" t="s">
        <v>64</v>
      </c>
      <c r="B37" s="52">
        <v>0</v>
      </c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3"/>
      <c r="I37" s="52">
        <v>0</v>
      </c>
      <c r="J37" s="52">
        <v>0</v>
      </c>
      <c r="K37" s="53"/>
      <c r="L37" s="53"/>
      <c r="M37" s="53"/>
      <c r="N37" s="53"/>
      <c r="O37" s="56">
        <v>0</v>
      </c>
      <c r="P37" s="53"/>
      <c r="Q37" s="53"/>
      <c r="R37" s="53"/>
      <c r="S37" s="53"/>
      <c r="T37" s="54"/>
      <c r="U37" s="34">
        <f t="shared" si="0"/>
        <v>0</v>
      </c>
      <c r="V37" s="35">
        <f t="shared" si="1"/>
        <v>0</v>
      </c>
      <c r="W37" s="35">
        <f t="shared" si="2"/>
        <v>0</v>
      </c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ht="13.5" customHeight="1">
      <c r="A38" s="47"/>
      <c r="B38" s="63"/>
      <c r="C38" s="63"/>
      <c r="D38" s="63"/>
      <c r="E38" s="63"/>
      <c r="F38" s="63"/>
      <c r="G38" s="63"/>
      <c r="H38" s="64"/>
      <c r="I38" s="63"/>
      <c r="J38" s="63"/>
      <c r="K38" s="64"/>
      <c r="L38" s="64"/>
      <c r="M38" s="64"/>
      <c r="N38" s="64"/>
      <c r="O38" s="64"/>
      <c r="P38" s="64"/>
      <c r="Q38" s="65"/>
      <c r="R38" s="65"/>
      <c r="S38" s="64"/>
      <c r="T38" s="65"/>
      <c r="U38" s="34">
        <f t="shared" si="0"/>
        <v>0</v>
      </c>
      <c r="V38" s="35">
        <f t="shared" si="1"/>
        <v>0</v>
      </c>
      <c r="W38" s="35">
        <f t="shared" si="2"/>
        <v>0</v>
      </c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ht="15.75" customHeight="1">
      <c r="A39" s="23" t="s">
        <v>65</v>
      </c>
      <c r="B39" s="66">
        <v>0</v>
      </c>
      <c r="C39" s="66">
        <v>0</v>
      </c>
      <c r="D39" s="66">
        <v>0</v>
      </c>
      <c r="E39" s="66">
        <v>0</v>
      </c>
      <c r="F39" s="66">
        <v>0</v>
      </c>
      <c r="G39" s="32">
        <v>0</v>
      </c>
      <c r="H39" s="67"/>
      <c r="I39" s="66">
        <v>0</v>
      </c>
      <c r="J39" s="66">
        <v>0</v>
      </c>
      <c r="K39" s="67"/>
      <c r="L39" s="67"/>
      <c r="M39" s="67"/>
      <c r="N39" s="67"/>
      <c r="O39" s="67"/>
      <c r="P39" s="67"/>
      <c r="Q39" s="68"/>
      <c r="R39" s="68"/>
      <c r="S39" s="67"/>
      <c r="T39" s="68"/>
      <c r="U39" s="34">
        <f t="shared" si="0"/>
        <v>0</v>
      </c>
      <c r="V39" s="35">
        <f t="shared" si="1"/>
        <v>0</v>
      </c>
      <c r="W39" s="35">
        <f t="shared" si="2"/>
        <v>0</v>
      </c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ht="15.75" customHeight="1">
      <c r="A40" s="69" t="s">
        <v>66</v>
      </c>
      <c r="B40" s="66">
        <v>0</v>
      </c>
      <c r="C40" s="66">
        <v>0</v>
      </c>
      <c r="D40" s="66">
        <v>0</v>
      </c>
      <c r="E40" s="66">
        <v>0</v>
      </c>
      <c r="F40" s="66">
        <v>0</v>
      </c>
      <c r="G40" s="32">
        <v>0</v>
      </c>
      <c r="H40" s="46"/>
      <c r="I40" s="66">
        <v>0</v>
      </c>
      <c r="J40" s="66">
        <v>0</v>
      </c>
      <c r="K40" s="46"/>
      <c r="L40" s="46"/>
      <c r="M40" s="46"/>
      <c r="N40" s="46"/>
      <c r="O40" s="46"/>
      <c r="P40" s="46"/>
      <c r="Q40" s="43"/>
      <c r="R40" s="43"/>
      <c r="S40" s="46"/>
      <c r="T40" s="43"/>
      <c r="U40" s="34">
        <f t="shared" si="0"/>
        <v>0</v>
      </c>
      <c r="V40" s="35">
        <f t="shared" si="1"/>
        <v>0</v>
      </c>
      <c r="W40" s="35">
        <f t="shared" si="2"/>
        <v>0</v>
      </c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ht="15.75" customHeight="1">
      <c r="A41" s="69" t="s">
        <v>67</v>
      </c>
      <c r="B41" s="66">
        <v>0</v>
      </c>
      <c r="C41" s="66">
        <v>0</v>
      </c>
      <c r="D41" s="66">
        <v>0</v>
      </c>
      <c r="E41" s="66">
        <v>0</v>
      </c>
      <c r="F41" s="66">
        <v>0</v>
      </c>
      <c r="G41" s="32">
        <v>0</v>
      </c>
      <c r="H41" s="46"/>
      <c r="I41" s="66">
        <v>0</v>
      </c>
      <c r="J41" s="66">
        <v>0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34">
        <f t="shared" si="0"/>
        <v>0</v>
      </c>
      <c r="V41" s="35">
        <f t="shared" si="1"/>
        <v>0</v>
      </c>
      <c r="W41" s="35">
        <f t="shared" si="2"/>
        <v>0</v>
      </c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ht="15.75" customHeight="1">
      <c r="A42" s="69" t="s">
        <v>68</v>
      </c>
      <c r="B42" s="66">
        <v>0</v>
      </c>
      <c r="C42" s="66">
        <v>0</v>
      </c>
      <c r="D42" s="66">
        <v>0</v>
      </c>
      <c r="E42" s="66">
        <v>0</v>
      </c>
      <c r="F42" s="66">
        <v>0</v>
      </c>
      <c r="G42" s="32">
        <v>0</v>
      </c>
      <c r="H42" s="46"/>
      <c r="I42" s="66">
        <v>0</v>
      </c>
      <c r="J42" s="66">
        <v>0</v>
      </c>
      <c r="K42" s="46"/>
      <c r="L42" s="46"/>
      <c r="M42" s="46"/>
      <c r="N42" s="46"/>
      <c r="O42" s="46"/>
      <c r="P42" s="46"/>
      <c r="Q42" s="43"/>
      <c r="R42" s="43"/>
      <c r="S42" s="46"/>
      <c r="T42" s="43"/>
      <c r="U42" s="34">
        <f t="shared" si="0"/>
        <v>0</v>
      </c>
      <c r="V42" s="35">
        <f t="shared" si="1"/>
        <v>0</v>
      </c>
      <c r="W42" s="35">
        <f t="shared" si="2"/>
        <v>0</v>
      </c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ht="15.75" customHeight="1">
      <c r="A43" s="69" t="s">
        <v>69</v>
      </c>
      <c r="B43" s="66">
        <v>0</v>
      </c>
      <c r="C43" s="66">
        <v>0</v>
      </c>
      <c r="D43" s="66">
        <v>0</v>
      </c>
      <c r="E43" s="66">
        <v>0</v>
      </c>
      <c r="F43" s="66">
        <v>0</v>
      </c>
      <c r="G43" s="32">
        <v>0</v>
      </c>
      <c r="H43" s="46"/>
      <c r="I43" s="66">
        <v>0</v>
      </c>
      <c r="J43" s="66">
        <v>0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34">
        <f t="shared" si="0"/>
        <v>0</v>
      </c>
      <c r="V43" s="35">
        <f t="shared" si="1"/>
        <v>0</v>
      </c>
      <c r="W43" s="35">
        <f t="shared" si="2"/>
        <v>0</v>
      </c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ht="15.75" customHeight="1">
      <c r="A44" s="69" t="s">
        <v>66</v>
      </c>
      <c r="B44" s="66">
        <v>0</v>
      </c>
      <c r="C44" s="66">
        <v>0</v>
      </c>
      <c r="D44" s="66">
        <v>0</v>
      </c>
      <c r="E44" s="66">
        <v>0</v>
      </c>
      <c r="F44" s="66">
        <v>0</v>
      </c>
      <c r="G44" s="32">
        <v>0</v>
      </c>
      <c r="H44" s="46"/>
      <c r="I44" s="66">
        <v>0</v>
      </c>
      <c r="J44" s="66">
        <v>0</v>
      </c>
      <c r="K44" s="46"/>
      <c r="L44" s="46"/>
      <c r="M44" s="46"/>
      <c r="N44" s="46"/>
      <c r="O44" s="46"/>
      <c r="P44" s="38"/>
      <c r="Q44" s="43"/>
      <c r="R44" s="43"/>
      <c r="S44" s="46"/>
      <c r="T44" s="43"/>
      <c r="U44" s="34">
        <f t="shared" si="0"/>
        <v>0</v>
      </c>
      <c r="V44" s="35">
        <f t="shared" si="1"/>
        <v>0</v>
      </c>
      <c r="W44" s="35">
        <f t="shared" si="2"/>
        <v>0</v>
      </c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ht="15.75" customHeight="1">
      <c r="A45" s="69" t="s">
        <v>70</v>
      </c>
      <c r="B45" s="66">
        <v>0</v>
      </c>
      <c r="C45" s="66">
        <v>0</v>
      </c>
      <c r="D45" s="66">
        <v>0</v>
      </c>
      <c r="E45" s="66">
        <v>0</v>
      </c>
      <c r="F45" s="66">
        <v>0</v>
      </c>
      <c r="G45" s="32">
        <v>0</v>
      </c>
      <c r="H45" s="46"/>
      <c r="I45" s="66">
        <v>0</v>
      </c>
      <c r="J45" s="66">
        <v>0</v>
      </c>
      <c r="K45" s="46"/>
      <c r="L45" s="46"/>
      <c r="M45" s="46"/>
      <c r="N45" s="46"/>
      <c r="O45" s="46"/>
      <c r="P45" s="38"/>
      <c r="Q45" s="46"/>
      <c r="R45" s="46"/>
      <c r="S45" s="46"/>
      <c r="T45" s="46"/>
      <c r="U45" s="34">
        <f t="shared" si="0"/>
        <v>0</v>
      </c>
      <c r="V45" s="35">
        <f t="shared" si="1"/>
        <v>0</v>
      </c>
      <c r="W45" s="35">
        <f t="shared" si="2"/>
        <v>0</v>
      </c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ht="15.75" customHeight="1">
      <c r="A46" s="69" t="s">
        <v>71</v>
      </c>
      <c r="B46" s="66">
        <v>16</v>
      </c>
      <c r="C46" s="66">
        <v>13</v>
      </c>
      <c r="D46" s="66">
        <v>16</v>
      </c>
      <c r="E46" s="70"/>
      <c r="F46" s="66">
        <v>16</v>
      </c>
      <c r="G46" s="32">
        <v>0</v>
      </c>
      <c r="H46" s="46"/>
      <c r="I46" s="66">
        <v>0</v>
      </c>
      <c r="J46" s="66">
        <v>0</v>
      </c>
      <c r="K46" s="46"/>
      <c r="L46" s="46"/>
      <c r="M46" s="46"/>
      <c r="N46" s="71"/>
      <c r="O46" s="32">
        <v>100</v>
      </c>
      <c r="P46" s="32"/>
      <c r="Q46" s="71"/>
      <c r="R46" s="71"/>
      <c r="S46" s="72"/>
      <c r="T46" s="46"/>
      <c r="U46" s="34">
        <f t="shared" si="0"/>
        <v>61</v>
      </c>
      <c r="V46" s="35">
        <f t="shared" si="1"/>
        <v>100</v>
      </c>
      <c r="W46" s="35">
        <f t="shared" si="2"/>
        <v>161</v>
      </c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1:34" ht="15.75" customHeight="1">
      <c r="A47" s="69" t="s">
        <v>72</v>
      </c>
      <c r="B47" s="70"/>
      <c r="C47" s="70"/>
      <c r="D47" s="70"/>
      <c r="E47" s="66">
        <v>16</v>
      </c>
      <c r="F47" s="70"/>
      <c r="G47" s="38"/>
      <c r="H47" s="46"/>
      <c r="I47" s="70"/>
      <c r="J47" s="70"/>
      <c r="K47" s="46"/>
      <c r="L47" s="46"/>
      <c r="M47" s="46"/>
      <c r="N47" s="71"/>
      <c r="O47" s="32">
        <v>96</v>
      </c>
      <c r="P47" s="66"/>
      <c r="Q47" s="71"/>
      <c r="R47" s="71"/>
      <c r="S47" s="72"/>
      <c r="T47" s="46"/>
      <c r="U47" s="34">
        <f t="shared" si="0"/>
        <v>16</v>
      </c>
      <c r="V47" s="35">
        <f t="shared" si="1"/>
        <v>96</v>
      </c>
      <c r="W47" s="35">
        <f t="shared" si="2"/>
        <v>112</v>
      </c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spans="1:34" ht="15.75" customHeight="1">
      <c r="A48" s="69" t="s">
        <v>73</v>
      </c>
      <c r="B48" s="70"/>
      <c r="C48" s="70"/>
      <c r="D48" s="70"/>
      <c r="E48" s="70"/>
      <c r="F48" s="70"/>
      <c r="G48" s="38"/>
      <c r="H48" s="46"/>
      <c r="I48" s="70"/>
      <c r="J48" s="70"/>
      <c r="K48" s="46"/>
      <c r="L48" s="46"/>
      <c r="M48" s="46"/>
      <c r="N48" s="71"/>
      <c r="O48" s="32">
        <v>10</v>
      </c>
      <c r="P48" s="66"/>
      <c r="Q48" s="71"/>
      <c r="R48" s="71"/>
      <c r="S48" s="72"/>
      <c r="T48" s="46"/>
      <c r="U48" s="34">
        <f t="shared" si="0"/>
        <v>0</v>
      </c>
      <c r="V48" s="35">
        <f t="shared" si="1"/>
        <v>10</v>
      </c>
      <c r="W48" s="35">
        <f t="shared" si="2"/>
        <v>10</v>
      </c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1:34" ht="13.5" customHeight="1">
      <c r="A49" s="69" t="s">
        <v>74</v>
      </c>
      <c r="B49" s="70"/>
      <c r="C49" s="70"/>
      <c r="D49" s="70"/>
      <c r="E49" s="70"/>
      <c r="F49" s="70"/>
      <c r="G49" s="38"/>
      <c r="H49" s="46"/>
      <c r="I49" s="70"/>
      <c r="J49" s="70"/>
      <c r="K49" s="46"/>
      <c r="L49" s="46"/>
      <c r="M49" s="46"/>
      <c r="N49" s="71"/>
      <c r="O49" s="73">
        <v>2</v>
      </c>
      <c r="P49" s="66"/>
      <c r="Q49" s="71"/>
      <c r="R49" s="71"/>
      <c r="S49" s="72"/>
      <c r="T49" s="46"/>
      <c r="U49" s="34">
        <f t="shared" si="0"/>
        <v>0</v>
      </c>
      <c r="V49" s="35">
        <f t="shared" si="1"/>
        <v>2</v>
      </c>
      <c r="W49" s="35">
        <f t="shared" si="2"/>
        <v>2</v>
      </c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spans="1:34" ht="13.5" customHeight="1">
      <c r="A50" s="69" t="s">
        <v>75</v>
      </c>
      <c r="B50" s="66">
        <v>0</v>
      </c>
      <c r="C50" s="66">
        <v>0</v>
      </c>
      <c r="D50" s="66">
        <v>0</v>
      </c>
      <c r="E50" s="66">
        <v>0</v>
      </c>
      <c r="F50" s="66">
        <v>0</v>
      </c>
      <c r="G50" s="32">
        <v>0</v>
      </c>
      <c r="H50" s="46"/>
      <c r="I50" s="66">
        <v>0</v>
      </c>
      <c r="J50" s="66">
        <v>0</v>
      </c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34">
        <f t="shared" si="0"/>
        <v>0</v>
      </c>
      <c r="V50" s="35">
        <f t="shared" si="1"/>
        <v>0</v>
      </c>
      <c r="W50" s="35">
        <f t="shared" si="2"/>
        <v>0</v>
      </c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1:34" ht="13.5" customHeight="1">
      <c r="A51" s="74"/>
      <c r="B51" s="75"/>
      <c r="C51" s="75"/>
      <c r="D51" s="75"/>
      <c r="E51" s="75"/>
      <c r="F51" s="75"/>
      <c r="G51" s="75"/>
      <c r="H51" s="76"/>
      <c r="I51" s="75"/>
      <c r="J51" s="75"/>
      <c r="K51" s="76"/>
      <c r="L51" s="76"/>
      <c r="M51" s="76"/>
      <c r="N51" s="76"/>
      <c r="O51" s="76"/>
      <c r="P51" s="76"/>
      <c r="Q51" s="77"/>
      <c r="R51" s="77"/>
      <c r="S51" s="76"/>
      <c r="T51" s="77"/>
      <c r="U51" s="34">
        <f t="shared" si="0"/>
        <v>0</v>
      </c>
      <c r="V51" s="35">
        <f t="shared" si="1"/>
        <v>0</v>
      </c>
      <c r="W51" s="35">
        <f t="shared" si="2"/>
        <v>0</v>
      </c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spans="1:34" ht="13.5" customHeight="1">
      <c r="A52" s="61" t="s">
        <v>26</v>
      </c>
      <c r="B52" s="66">
        <v>0</v>
      </c>
      <c r="C52" s="66">
        <v>0</v>
      </c>
      <c r="D52" s="66">
        <v>0</v>
      </c>
      <c r="E52" s="66">
        <v>0</v>
      </c>
      <c r="F52" s="66">
        <v>0</v>
      </c>
      <c r="G52" s="32">
        <v>0</v>
      </c>
      <c r="H52" s="46"/>
      <c r="I52" s="66">
        <v>0</v>
      </c>
      <c r="J52" s="32">
        <v>0</v>
      </c>
      <c r="K52" s="46"/>
      <c r="L52" s="46"/>
      <c r="M52" s="46"/>
      <c r="N52" s="46"/>
      <c r="O52" s="38"/>
      <c r="P52" s="46"/>
      <c r="Q52" s="46"/>
      <c r="R52" s="46"/>
      <c r="S52" s="46"/>
      <c r="T52" s="46"/>
      <c r="U52" s="34">
        <f t="shared" si="0"/>
        <v>0</v>
      </c>
      <c r="V52" s="35">
        <f t="shared" si="1"/>
        <v>0</v>
      </c>
      <c r="W52" s="35">
        <f t="shared" si="2"/>
        <v>0</v>
      </c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1:34" ht="13.5" customHeight="1">
      <c r="A53" s="78" t="s">
        <v>27</v>
      </c>
      <c r="B53" s="79"/>
      <c r="C53" s="79"/>
      <c r="D53" s="79"/>
      <c r="E53" s="80">
        <v>0</v>
      </c>
      <c r="F53" s="80">
        <v>76</v>
      </c>
      <c r="G53" s="81"/>
      <c r="H53" s="79"/>
      <c r="I53" s="79"/>
      <c r="J53" s="79"/>
      <c r="K53" s="79"/>
      <c r="L53" s="79"/>
      <c r="M53" s="79"/>
      <c r="N53" s="79"/>
      <c r="O53" s="79"/>
      <c r="P53" s="79"/>
      <c r="Q53" s="82"/>
      <c r="R53" s="82"/>
      <c r="S53" s="83"/>
      <c r="T53" s="84"/>
      <c r="U53" s="34">
        <f t="shared" si="0"/>
        <v>76</v>
      </c>
      <c r="V53" s="35">
        <f t="shared" si="1"/>
        <v>0</v>
      </c>
      <c r="W53" s="35">
        <f t="shared" si="2"/>
        <v>76</v>
      </c>
      <c r="X53" s="30"/>
      <c r="Y53" s="30"/>
      <c r="Z53" s="30"/>
      <c r="AA53" s="30"/>
      <c r="AB53" s="30"/>
      <c r="AC53" s="30"/>
      <c r="AD53" s="30"/>
      <c r="AE53" s="30"/>
      <c r="AF53" s="30"/>
      <c r="AG53" s="85"/>
      <c r="AH53" s="85"/>
    </row>
    <row r="54" spans="1:34" ht="13.5" customHeight="1">
      <c r="A54" s="86" t="s">
        <v>28</v>
      </c>
      <c r="B54" s="87">
        <v>58</v>
      </c>
      <c r="C54" s="87">
        <v>29</v>
      </c>
      <c r="D54" s="87">
        <v>26</v>
      </c>
      <c r="E54" s="87">
        <v>13</v>
      </c>
      <c r="F54" s="87">
        <v>139</v>
      </c>
      <c r="G54" s="32">
        <v>0</v>
      </c>
      <c r="H54" s="88"/>
      <c r="I54" s="87">
        <v>0</v>
      </c>
      <c r="J54" s="87">
        <v>0</v>
      </c>
      <c r="K54" s="89"/>
      <c r="L54" s="89"/>
      <c r="M54" s="89"/>
      <c r="N54" s="89"/>
      <c r="O54" s="89"/>
      <c r="P54" s="89"/>
      <c r="Q54" s="90"/>
      <c r="R54" s="91"/>
      <c r="S54" s="90"/>
      <c r="T54" s="91">
        <v>201</v>
      </c>
      <c r="U54" s="34">
        <f t="shared" si="0"/>
        <v>265</v>
      </c>
      <c r="V54" s="35">
        <f t="shared" si="1"/>
        <v>201</v>
      </c>
      <c r="W54" s="35">
        <f t="shared" si="2"/>
        <v>466</v>
      </c>
      <c r="X54" s="30"/>
      <c r="Y54" s="30"/>
      <c r="Z54" s="30"/>
      <c r="AA54" s="30"/>
      <c r="AB54" s="30"/>
      <c r="AC54" s="30"/>
      <c r="AD54" s="30"/>
      <c r="AE54" s="30"/>
      <c r="AF54" s="30"/>
      <c r="AG54" s="85"/>
      <c r="AH54" s="85"/>
    </row>
    <row r="55" spans="1:34" ht="13.5" customHeight="1">
      <c r="A55" s="26" t="s">
        <v>76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92"/>
      <c r="X55" s="30"/>
      <c r="Y55" s="30"/>
      <c r="Z55" s="30"/>
      <c r="AA55" s="30"/>
      <c r="AB55" s="30"/>
      <c r="AC55" s="30"/>
      <c r="AD55" s="30"/>
      <c r="AE55" s="30"/>
      <c r="AF55" s="30"/>
      <c r="AG55" s="85"/>
      <c r="AH55" s="66">
        <v>0</v>
      </c>
    </row>
    <row r="56" spans="1:34" ht="13.5" customHeight="1">
      <c r="A56" s="45" t="s">
        <v>77</v>
      </c>
      <c r="B56" s="32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3">
        <v>0</v>
      </c>
      <c r="I56" s="32">
        <v>0</v>
      </c>
      <c r="J56" s="32">
        <v>0</v>
      </c>
      <c r="K56" s="33">
        <v>0</v>
      </c>
      <c r="L56" s="33">
        <v>0</v>
      </c>
      <c r="M56" s="33">
        <v>0</v>
      </c>
      <c r="N56" s="33">
        <v>0</v>
      </c>
      <c r="O56" s="32">
        <v>0</v>
      </c>
      <c r="P56" s="32">
        <v>0</v>
      </c>
      <c r="Q56" s="33">
        <v>0</v>
      </c>
      <c r="R56" s="33"/>
      <c r="S56" s="38"/>
      <c r="T56" s="33">
        <v>0</v>
      </c>
      <c r="U56" s="34">
        <f>SUM(B56:H56)</f>
        <v>0</v>
      </c>
      <c r="V56" s="35">
        <f>SUM(I56:T56)</f>
        <v>0</v>
      </c>
      <c r="W56" s="35">
        <f>V56+U56</f>
        <v>0</v>
      </c>
      <c r="X56" s="30"/>
      <c r="Y56" s="30"/>
      <c r="Z56" s="30"/>
      <c r="AA56" s="30"/>
      <c r="AB56" s="30"/>
      <c r="AC56" s="30"/>
      <c r="AD56" s="30"/>
      <c r="AE56" s="30"/>
      <c r="AF56" s="30"/>
      <c r="AG56" s="85"/>
      <c r="AH56" s="66">
        <v>0</v>
      </c>
    </row>
    <row r="57" spans="1:34" ht="13.5" customHeight="1">
      <c r="A57" s="93" t="s">
        <v>78</v>
      </c>
      <c r="B57" s="66">
        <v>0</v>
      </c>
      <c r="C57" s="66">
        <v>0</v>
      </c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0</v>
      </c>
      <c r="O57" s="66">
        <v>0</v>
      </c>
      <c r="P57" s="66">
        <v>0</v>
      </c>
      <c r="Q57" s="66">
        <v>0</v>
      </c>
      <c r="R57" s="66"/>
      <c r="S57" s="70"/>
      <c r="T57" s="66">
        <v>0</v>
      </c>
      <c r="U57" s="66">
        <v>0</v>
      </c>
      <c r="V57" s="66">
        <v>0</v>
      </c>
      <c r="W57" s="66">
        <v>0</v>
      </c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66">
        <v>0</v>
      </c>
    </row>
    <row r="58" spans="1:34" ht="13.5" customHeight="1">
      <c r="A58" s="93" t="s">
        <v>79</v>
      </c>
      <c r="B58" s="66">
        <v>0</v>
      </c>
      <c r="C58" s="66">
        <v>0</v>
      </c>
      <c r="D58" s="66">
        <v>0</v>
      </c>
      <c r="E58" s="66">
        <v>0</v>
      </c>
      <c r="F58" s="66">
        <v>0</v>
      </c>
      <c r="G58" s="66">
        <v>0</v>
      </c>
      <c r="H58" s="66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6">
        <v>0</v>
      </c>
      <c r="O58" s="66">
        <v>0</v>
      </c>
      <c r="P58" s="66">
        <v>0</v>
      </c>
      <c r="Q58" s="66">
        <v>0</v>
      </c>
      <c r="R58" s="66"/>
      <c r="S58" s="70"/>
      <c r="T58" s="66">
        <v>0</v>
      </c>
      <c r="U58" s="66">
        <v>0</v>
      </c>
      <c r="V58" s="66">
        <v>0</v>
      </c>
      <c r="W58" s="66">
        <v>0</v>
      </c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66"/>
    </row>
    <row r="59" spans="1:34" ht="13.5" customHeight="1">
      <c r="A59" s="94" t="s">
        <v>80</v>
      </c>
      <c r="B59" s="66">
        <v>0</v>
      </c>
      <c r="C59" s="66">
        <v>0</v>
      </c>
      <c r="D59" s="66">
        <v>0</v>
      </c>
      <c r="E59" s="66">
        <v>0</v>
      </c>
      <c r="F59" s="66">
        <v>0</v>
      </c>
      <c r="G59" s="66">
        <v>0</v>
      </c>
      <c r="H59" s="66">
        <v>0</v>
      </c>
      <c r="I59" s="66">
        <v>0</v>
      </c>
      <c r="J59" s="66">
        <v>0</v>
      </c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v>0</v>
      </c>
      <c r="Q59" s="66">
        <v>0</v>
      </c>
      <c r="R59" s="66"/>
      <c r="S59" s="70"/>
      <c r="T59" s="66">
        <v>0</v>
      </c>
      <c r="U59" s="66">
        <v>0</v>
      </c>
      <c r="V59" s="66">
        <v>0</v>
      </c>
      <c r="W59" s="66">
        <v>0</v>
      </c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66">
        <v>0</v>
      </c>
    </row>
    <row r="60" spans="1:34" ht="13.5" customHeight="1">
      <c r="A60" s="86" t="s">
        <v>28</v>
      </c>
      <c r="B60" s="66">
        <v>0</v>
      </c>
      <c r="C60" s="66">
        <v>0</v>
      </c>
      <c r="D60" s="66">
        <v>6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66">
        <v>0</v>
      </c>
      <c r="O60" s="66">
        <v>0</v>
      </c>
      <c r="P60" s="66">
        <v>0</v>
      </c>
      <c r="Q60" s="66">
        <v>0</v>
      </c>
      <c r="R60" s="66"/>
      <c r="S60" s="67"/>
      <c r="T60" s="66">
        <v>0</v>
      </c>
      <c r="U60" s="66">
        <v>0</v>
      </c>
      <c r="V60" s="66">
        <v>0</v>
      </c>
      <c r="W60" s="66">
        <v>0</v>
      </c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 spans="1:34" ht="13.5" customHeight="1">
      <c r="A61" s="26" t="s">
        <v>81</v>
      </c>
      <c r="B61" s="76"/>
      <c r="C61" s="76"/>
      <c r="D61" s="76"/>
      <c r="E61" s="76"/>
      <c r="F61" s="76"/>
      <c r="G61" s="75"/>
      <c r="H61" s="75"/>
      <c r="I61" s="75"/>
      <c r="J61" s="75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95">
        <v>0</v>
      </c>
      <c r="V61" s="96"/>
      <c r="W61" s="97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spans="1:34" ht="13.5" customHeight="1">
      <c r="A62" s="8" t="s">
        <v>82</v>
      </c>
      <c r="B62" s="46"/>
      <c r="C62" s="46"/>
      <c r="D62" s="46"/>
      <c r="E62" s="46"/>
      <c r="F62" s="46"/>
      <c r="G62" s="32">
        <v>0</v>
      </c>
      <c r="H62" s="66">
        <v>0</v>
      </c>
      <c r="I62" s="66">
        <v>0</v>
      </c>
      <c r="J62" s="32">
        <v>0</v>
      </c>
      <c r="K62" s="46"/>
      <c r="L62" s="46"/>
      <c r="M62" s="46"/>
      <c r="N62" s="46"/>
      <c r="O62" s="46"/>
      <c r="P62" s="46"/>
      <c r="Q62" s="72"/>
      <c r="R62" s="72"/>
      <c r="S62" s="72"/>
      <c r="T62" s="72"/>
      <c r="U62" s="98">
        <v>0</v>
      </c>
      <c r="V62" s="95">
        <v>0</v>
      </c>
      <c r="W62" s="95">
        <v>0</v>
      </c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spans="1:34" ht="13.5" customHeight="1">
      <c r="A63" s="8" t="s">
        <v>83</v>
      </c>
      <c r="B63" s="81"/>
      <c r="C63" s="81"/>
      <c r="D63" s="81"/>
      <c r="E63" s="81"/>
      <c r="F63" s="81"/>
      <c r="G63" s="32">
        <v>0</v>
      </c>
      <c r="H63" s="66">
        <v>0</v>
      </c>
      <c r="I63" s="66">
        <v>0</v>
      </c>
      <c r="J63" s="32">
        <v>0</v>
      </c>
      <c r="K63" s="81"/>
      <c r="L63" s="81"/>
      <c r="M63" s="81"/>
      <c r="N63" s="81"/>
      <c r="O63" s="81"/>
      <c r="P63" s="81"/>
      <c r="Q63" s="99"/>
      <c r="R63" s="99"/>
      <c r="S63" s="99"/>
      <c r="T63" s="99"/>
      <c r="U63" s="98">
        <v>0</v>
      </c>
      <c r="V63" s="95">
        <v>0</v>
      </c>
      <c r="W63" s="95">
        <v>0</v>
      </c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 spans="24:34" ht="13.5" customHeight="1"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spans="1:34" ht="13.5" customHeight="1">
      <c r="A65" s="44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10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 spans="1:34" ht="13.5" customHeight="1">
      <c r="A66" s="44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10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 spans="1:34" ht="13.5" customHeight="1">
      <c r="A67" s="44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10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spans="1:34" ht="13.5" customHeight="1">
      <c r="A68" s="44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10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 spans="1:34" ht="13.5" customHeight="1">
      <c r="A69" s="44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10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</row>
    <row r="70" spans="1:34" ht="13.5" customHeight="1">
      <c r="A70" s="44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10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spans="1:34" ht="13.5" customHeight="1">
      <c r="A71" s="44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10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</row>
    <row r="72" spans="1:34" ht="13.5" customHeight="1">
      <c r="A72" s="44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10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 spans="1:34" ht="13.5" customHeight="1">
      <c r="A73" s="44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10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</row>
    <row r="74" spans="1:34" ht="13.5" customHeight="1">
      <c r="A74" s="44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10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</row>
    <row r="75" spans="1:34" ht="13.5" customHeight="1">
      <c r="A75" s="44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10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 spans="1:34" ht="13.5" customHeight="1">
      <c r="A76" s="44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10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7" spans="1:34" ht="13.5" customHeight="1">
      <c r="A77" s="44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10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</row>
    <row r="78" spans="1:34" ht="13.5" customHeight="1">
      <c r="A78" s="44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10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 spans="1:34" ht="13.5" customHeight="1">
      <c r="A79" s="44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10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spans="1:34" ht="13.5" customHeight="1">
      <c r="A80" s="44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10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 spans="1:34" ht="13.5" customHeight="1">
      <c r="A81" s="44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10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spans="1:34" ht="13.5" customHeight="1">
      <c r="A82" s="44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10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spans="1:34" ht="13.5" customHeight="1">
      <c r="A83" s="44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10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 spans="1:34" ht="13.5" customHeight="1">
      <c r="A84" s="44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10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spans="1:34" ht="13.5" customHeight="1">
      <c r="A85" s="44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10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spans="1:34" ht="13.5" customHeight="1">
      <c r="A86" s="44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10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 spans="1:34" ht="13.5" customHeight="1">
      <c r="A87" s="44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10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 spans="1:34" ht="13.5" customHeight="1">
      <c r="A88" s="44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10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spans="1:34" ht="13.5" customHeight="1">
      <c r="A89" s="44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spans="1:34" ht="13.5" customHeight="1">
      <c r="A90" s="44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 spans="1:34" ht="13.5" customHeight="1">
      <c r="A91" s="44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spans="1:34" ht="13.5" customHeight="1">
      <c r="A92" s="44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 spans="1:34" ht="13.5" customHeight="1">
      <c r="A93" s="44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 spans="1:34" ht="13.5" customHeight="1">
      <c r="A94" s="44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spans="1:34" ht="13.5" customHeight="1">
      <c r="A95" s="44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 spans="1:34" ht="13.5" customHeight="1">
      <c r="A96" s="44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ht="13.5" customHeight="1">
      <c r="A97" s="44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ht="13.5" customHeight="1">
      <c r="A98" s="44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ht="13.5" customHeight="1">
      <c r="A99" s="44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 spans="1:34" ht="13.5" customHeight="1">
      <c r="A100" s="44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:34" ht="13.5" customHeight="1">
      <c r="A101" s="44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ht="13.5" customHeight="1">
      <c r="A102" s="44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ht="13.5" customHeight="1">
      <c r="A103" s="44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ht="13.5" customHeight="1">
      <c r="A104" s="44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ht="13.5" customHeight="1">
      <c r="A105" s="44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ht="13.5" customHeight="1">
      <c r="A106" s="44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ht="13.5" customHeight="1">
      <c r="A107" s="44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ht="13.5" customHeight="1">
      <c r="A108" s="44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ht="13.5" customHeight="1">
      <c r="A109" s="44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ht="13.5" customHeight="1">
      <c r="A110" s="44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ht="13.5" customHeight="1">
      <c r="A111" s="4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ht="13.5" customHeight="1">
      <c r="A112" s="44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ht="13.5" customHeight="1">
      <c r="A113" s="44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ht="13.5" customHeight="1">
      <c r="A114" s="44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ht="13.5" customHeight="1">
      <c r="A115" s="44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ht="13.5" customHeight="1">
      <c r="A116" s="44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ht="13.5" customHeight="1">
      <c r="A117" s="44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ht="13.5" customHeight="1">
      <c r="A118" s="44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ht="13.5" customHeight="1">
      <c r="A119" s="44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ht="13.5" customHeight="1">
      <c r="A120" s="44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ht="13.5" customHeight="1">
      <c r="A121" s="44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ht="13.5" customHeight="1">
      <c r="A122" s="44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ht="13.5" customHeight="1">
      <c r="A123" s="44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ht="13.5" customHeight="1">
      <c r="A124" s="44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ht="13.5" customHeight="1">
      <c r="A125" s="44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ht="13.5" customHeight="1">
      <c r="A126" s="44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ht="13.5" customHeight="1">
      <c r="A127" s="44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ht="13.5" customHeight="1">
      <c r="A128" s="44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ht="13.5" customHeight="1">
      <c r="A129" s="44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ht="13.5" customHeight="1">
      <c r="A130" s="44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ht="13.5" customHeight="1">
      <c r="A131" s="44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ht="13.5" customHeight="1">
      <c r="A132" s="44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ht="13.5" customHeight="1">
      <c r="A133" s="44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ht="13.5" customHeight="1">
      <c r="A134" s="44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ht="15.75" customHeight="1">
      <c r="A135" s="44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ht="15.75" customHeight="1">
      <c r="A136" s="44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ht="15.75" customHeight="1">
      <c r="A137" s="44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ht="15.75" customHeight="1">
      <c r="A138" s="44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ht="15.75" customHeight="1">
      <c r="A139" s="4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ht="15.75" customHeight="1">
      <c r="A140" s="4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ht="15.75" customHeight="1">
      <c r="A141" s="4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ht="15.75" customHeight="1">
      <c r="A142" s="4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ht="15.75" customHeight="1">
      <c r="A143" s="4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ht="15.75" customHeight="1">
      <c r="A144" s="4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ht="15.75" customHeight="1">
      <c r="A145" s="4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ht="15.75" customHeight="1">
      <c r="A146" s="4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ht="15.75" customHeight="1">
      <c r="A147" s="4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ht="15.75" customHeight="1">
      <c r="A148" s="4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ht="15.75" customHeight="1">
      <c r="A149" s="4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ht="15.75" customHeight="1">
      <c r="A150" s="4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ht="15.75" customHeight="1">
      <c r="A151" s="4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ht="15.75" customHeight="1">
      <c r="A152" s="4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ht="15.75" customHeight="1">
      <c r="A153" s="4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ht="15.75" customHeight="1">
      <c r="A154" s="4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ht="15.75" customHeight="1">
      <c r="A155" s="4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ht="15.75" customHeight="1">
      <c r="A156" s="4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ht="15.75" customHeight="1">
      <c r="A157" s="4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ht="15.75" customHeight="1">
      <c r="A158" s="4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ht="15.75" customHeight="1">
      <c r="A159" s="4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ht="15.75" customHeight="1">
      <c r="A160" s="4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ht="15.75" customHeight="1">
      <c r="A161" s="4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ht="15.75" customHeight="1">
      <c r="A162" s="4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ht="15.75" customHeight="1">
      <c r="A163" s="4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ht="15.75" customHeight="1">
      <c r="A164" s="4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ht="15.75" customHeight="1">
      <c r="A165" s="4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ht="15.75" customHeight="1">
      <c r="A166" s="44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ht="15.75" customHeight="1">
      <c r="A167" s="44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ht="15.75" customHeight="1">
      <c r="A168" s="44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ht="15.75" customHeight="1">
      <c r="A169" s="44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ht="15.75" customHeight="1">
      <c r="A170" s="44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ht="15.75" customHeight="1">
      <c r="A171" s="44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ht="15.75" customHeight="1">
      <c r="A172" s="44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ht="15.75" customHeight="1">
      <c r="A173" s="44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ht="15.75" customHeight="1">
      <c r="A174" s="44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ht="15.75" customHeight="1">
      <c r="A175" s="44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ht="15.75" customHeight="1">
      <c r="A176" s="44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ht="15.75" customHeight="1">
      <c r="A177" s="44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ht="15.75" customHeight="1">
      <c r="A178" s="44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ht="15.75" customHeight="1">
      <c r="A179" s="44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ht="15.75" customHeight="1">
      <c r="A180" s="44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ht="15.75" customHeight="1">
      <c r="A181" s="44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ht="15.75" customHeight="1">
      <c r="A182" s="44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ht="15.75" customHeight="1">
      <c r="A183" s="44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ht="15.75" customHeight="1">
      <c r="A184" s="44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ht="15.75" customHeight="1">
      <c r="A185" s="44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ht="15.75" customHeight="1">
      <c r="A186" s="44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ht="15.75" customHeight="1">
      <c r="A187" s="44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ht="15.75" customHeight="1">
      <c r="A188" s="44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ht="15.75" customHeight="1">
      <c r="A189" s="44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ht="15.75" customHeight="1">
      <c r="A190" s="44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ht="15.75" customHeight="1">
      <c r="A191" s="44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ht="15.75" customHeight="1">
      <c r="A192" s="44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ht="15.75" customHeight="1">
      <c r="A193" s="44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ht="15.75" customHeight="1">
      <c r="A194" s="44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ht="15.75" customHeight="1">
      <c r="A195" s="44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ht="15.75" customHeight="1">
      <c r="A196" s="44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ht="15.75" customHeight="1">
      <c r="A197" s="44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ht="15.75" customHeight="1">
      <c r="A198" s="44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ht="15.75" customHeight="1">
      <c r="A199" s="44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ht="15.75" customHeight="1">
      <c r="A200" s="44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ht="15.75" customHeight="1">
      <c r="A201" s="44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ht="15.75" customHeight="1">
      <c r="A202" s="44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ht="15.75" customHeight="1">
      <c r="A203" s="44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ht="15.75" customHeight="1">
      <c r="A204" s="44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ht="15.75" customHeight="1">
      <c r="A205" s="44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ht="15.75" customHeight="1">
      <c r="A206" s="44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ht="15.75" customHeight="1">
      <c r="A207" s="44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ht="15.75" customHeight="1">
      <c r="A208" s="44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ht="15.75" customHeight="1">
      <c r="A209" s="44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ht="15.75" customHeight="1">
      <c r="A210" s="44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ht="15.75" customHeight="1">
      <c r="A211" s="44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ht="15.75" customHeight="1">
      <c r="A212" s="44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ht="15.75" customHeight="1">
      <c r="A213" s="44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ht="15.75" customHeight="1">
      <c r="A214" s="44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ht="15.75" customHeight="1">
      <c r="A215" s="44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ht="15.75" customHeight="1">
      <c r="A216" s="44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ht="15.75" customHeight="1">
      <c r="A217" s="44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ht="15.75" customHeight="1">
      <c r="A218" s="44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ht="15.75" customHeight="1">
      <c r="A219" s="44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ht="15.75" customHeight="1">
      <c r="A220" s="44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ht="15.75" customHeight="1">
      <c r="A221" s="44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ht="15.75" customHeight="1">
      <c r="A222" s="44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ht="15.75" customHeight="1">
      <c r="A223" s="44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ht="15.75" customHeight="1">
      <c r="A224" s="44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ht="15.75" customHeight="1">
      <c r="A225" s="44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ht="15.75" customHeight="1">
      <c r="A226" s="44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ht="15.75" customHeight="1">
      <c r="A227" s="44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ht="15.75" customHeight="1">
      <c r="A228" s="44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ht="15.75" customHeight="1">
      <c r="A229" s="44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ht="15.75" customHeight="1">
      <c r="A230" s="44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ht="15.75" customHeight="1">
      <c r="A231" s="44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ht="15.75" customHeight="1">
      <c r="A232" s="44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ht="15.75" customHeight="1">
      <c r="A233" s="44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ht="15.75" customHeight="1">
      <c r="A234" s="44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ht="15.75" customHeight="1">
      <c r="A235" s="44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ht="15.75" customHeight="1">
      <c r="A236" s="44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ht="15.75" customHeight="1">
      <c r="A237" s="44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ht="15.75" customHeight="1">
      <c r="A238" s="44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ht="15.75" customHeight="1">
      <c r="A239" s="44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ht="15.75" customHeight="1">
      <c r="A240" s="44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ht="15.75" customHeight="1">
      <c r="A241" s="44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ht="15.75" customHeight="1">
      <c r="A242" s="44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ht="15.75" customHeight="1">
      <c r="A243" s="44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ht="15.75" customHeight="1">
      <c r="A244" s="44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ht="15.75" customHeight="1">
      <c r="A245" s="44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ht="15.75" customHeight="1">
      <c r="A246" s="44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ht="15.75" customHeight="1">
      <c r="A247" s="44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ht="15.75" customHeight="1">
      <c r="A248" s="44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ht="15.75" customHeight="1">
      <c r="A249" s="44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ht="15.75" customHeight="1">
      <c r="A250" s="44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ht="15.75" customHeight="1">
      <c r="A251" s="44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ht="15.75" customHeight="1">
      <c r="A252" s="44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ht="15.75" customHeight="1">
      <c r="A253" s="44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ht="15.75" customHeight="1">
      <c r="A254" s="44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ht="15.75" customHeight="1">
      <c r="A255" s="44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ht="15.75" customHeight="1">
      <c r="A256" s="44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ht="15.75" customHeight="1">
      <c r="A257" s="44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ht="15.75" customHeight="1">
      <c r="A258" s="44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ht="15.75" customHeight="1">
      <c r="A259" s="44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ht="15.75" customHeight="1">
      <c r="A260" s="44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ht="15.75" customHeight="1">
      <c r="A261" s="44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ht="15.75" customHeight="1">
      <c r="A262" s="44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ht="15.75" customHeight="1">
      <c r="A263" s="44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ht="15.75" customHeight="1">
      <c r="A264" s="44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ht="15.75" customHeight="1">
      <c r="A265" s="44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ht="15.75" customHeight="1">
      <c r="A266" s="44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ht="15.75" customHeight="1">
      <c r="A267" s="44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ht="15.75" customHeight="1">
      <c r="A268" s="44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ht="15.75" customHeight="1">
      <c r="A269" s="44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ht="15.75" customHeight="1">
      <c r="A270" s="44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ht="15.75" customHeight="1">
      <c r="A271" s="44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ht="15.75" customHeight="1">
      <c r="A272" s="44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ht="15.75" customHeight="1">
      <c r="A273" s="44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ht="15.75" customHeight="1">
      <c r="A274" s="44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ht="15.75" customHeight="1">
      <c r="A275" s="44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ht="15.75" customHeight="1">
      <c r="A276" s="44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ht="15.75" customHeight="1">
      <c r="A277" s="44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ht="15.75" customHeight="1">
      <c r="A278" s="44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ht="15.75" customHeight="1">
      <c r="A279" s="44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ht="15.75" customHeight="1">
      <c r="A280" s="44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ht="15.75" customHeight="1">
      <c r="A281" s="44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ht="15.75" customHeight="1">
      <c r="A282" s="44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ht="15.75" customHeight="1">
      <c r="A283" s="44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ht="15.75" customHeight="1">
      <c r="A284" s="44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ht="15.75" customHeight="1">
      <c r="A285" s="44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ht="15.75" customHeight="1">
      <c r="A286" s="44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ht="15.75" customHeight="1">
      <c r="A287" s="44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ht="15.75" customHeight="1">
      <c r="A288" s="44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ht="15.75" customHeight="1">
      <c r="A289" s="44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ht="15.75" customHeight="1">
      <c r="A290" s="44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ht="15.75" customHeight="1">
      <c r="A291" s="44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ht="15.75" customHeight="1">
      <c r="A292" s="44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ht="15.75" customHeight="1">
      <c r="A293" s="44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ht="15.75" customHeight="1">
      <c r="A294" s="44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ht="15.75" customHeight="1">
      <c r="A295" s="44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ht="15.75" customHeight="1">
      <c r="A296" s="44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spans="1:34" ht="15.75" customHeight="1">
      <c r="A297" s="44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ht="15.75" customHeight="1">
      <c r="A298" s="44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ht="15.75" customHeight="1">
      <c r="A299" s="44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ht="15.75" customHeight="1">
      <c r="A300" s="44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ht="15.75" customHeight="1">
      <c r="A301" s="44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ht="15.75" customHeight="1">
      <c r="A302" s="44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ht="15.75" customHeight="1">
      <c r="A303" s="44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ht="15.75" customHeight="1">
      <c r="A304" s="44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ht="15.75" customHeight="1">
      <c r="A305" s="44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ht="15.75" customHeight="1">
      <c r="A306" s="44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ht="15.75" customHeight="1">
      <c r="A307" s="44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ht="15.75" customHeight="1">
      <c r="A308" s="44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ht="15.75" customHeight="1">
      <c r="A309" s="44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ht="15.75" customHeight="1">
      <c r="A310" s="44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ht="15.75" customHeight="1">
      <c r="A311" s="44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ht="15.75" customHeight="1">
      <c r="A312" s="44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ht="15.75" customHeight="1">
      <c r="A313" s="44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ht="15.75" customHeight="1">
      <c r="A314" s="44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ht="15.75" customHeight="1">
      <c r="A315" s="44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ht="15.75" customHeight="1">
      <c r="A316" s="44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ht="15.75" customHeight="1">
      <c r="A317" s="44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ht="15.75" customHeight="1">
      <c r="A318" s="44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ht="15.75" customHeight="1">
      <c r="A319" s="44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ht="15.75" customHeight="1">
      <c r="A320" s="44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ht="15.75" customHeight="1">
      <c r="A321" s="44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ht="15.75" customHeight="1">
      <c r="A322" s="44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ht="15.75" customHeight="1">
      <c r="A323" s="44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ht="15.75" customHeight="1">
      <c r="A324" s="44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ht="15.75" customHeight="1">
      <c r="A325" s="44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ht="15.75" customHeight="1">
      <c r="A326" s="44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ht="15.75" customHeight="1">
      <c r="A327" s="44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ht="15.75" customHeight="1">
      <c r="A328" s="44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ht="15.75" customHeight="1">
      <c r="A329" s="44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spans="1:34" ht="15.75" customHeight="1">
      <c r="A330" s="44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 spans="1:34" ht="15.75" customHeight="1">
      <c r="A331" s="44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spans="1:34" ht="15.75" customHeight="1">
      <c r="A332" s="44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spans="1:34" ht="15.75" customHeight="1">
      <c r="A333" s="44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spans="1:34" ht="15.75" customHeight="1">
      <c r="A334" s="44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ht="15.75" customHeight="1">
      <c r="A335" s="44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spans="1:34" ht="15.75" customHeight="1">
      <c r="A336" s="44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spans="1:34" ht="15.75" customHeight="1">
      <c r="A337" s="44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 spans="1:34" ht="15.75" customHeight="1">
      <c r="A338" s="44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ht="15.75" customHeight="1">
      <c r="A339" s="44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ht="15.75" customHeight="1">
      <c r="A340" s="44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ht="15.75" customHeight="1">
      <c r="A341" s="44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ht="15.75" customHeight="1">
      <c r="A342" s="44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ht="15.75" customHeight="1">
      <c r="A343" s="44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ht="15.75" customHeight="1">
      <c r="A344" s="44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ht="15.75" customHeight="1">
      <c r="A345" s="44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ht="15.75" customHeight="1">
      <c r="A346" s="44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ht="15.75" customHeight="1">
      <c r="A347" s="44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ht="15.75" customHeight="1">
      <c r="A348" s="44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ht="15.75" customHeight="1">
      <c r="A349" s="44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ht="15.75" customHeight="1">
      <c r="A350" s="44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ht="15.75" customHeight="1">
      <c r="A351" s="44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ht="15.75" customHeight="1">
      <c r="A352" s="44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ht="15.75" customHeight="1">
      <c r="A353" s="44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ht="15.75" customHeight="1">
      <c r="A354" s="44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ht="15.75" customHeight="1">
      <c r="A355" s="44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ht="15.75" customHeight="1">
      <c r="A356" s="44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ht="15.75" customHeight="1">
      <c r="A357" s="44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ht="15.75" customHeight="1">
      <c r="A358" s="44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ht="15.75" customHeight="1">
      <c r="A359" s="44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ht="15.75" customHeight="1">
      <c r="A360" s="44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ht="15.75" customHeight="1">
      <c r="A361" s="44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ht="15.75" customHeight="1">
      <c r="A362" s="44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ht="15.75" customHeight="1">
      <c r="A363" s="44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ht="15.75" customHeight="1">
      <c r="A364" s="44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ht="15.75" customHeight="1">
      <c r="A365" s="44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ht="15.75" customHeight="1">
      <c r="A366" s="44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ht="15.75" customHeight="1">
      <c r="A367" s="44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ht="15.75" customHeight="1">
      <c r="A368" s="44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ht="15.75" customHeight="1">
      <c r="A369" s="44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ht="15.75" customHeight="1">
      <c r="A370" s="44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ht="15.75" customHeight="1">
      <c r="A371" s="44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ht="15.75" customHeight="1">
      <c r="A372" s="44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ht="15.75" customHeight="1">
      <c r="A373" s="44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ht="15.75" customHeight="1">
      <c r="A374" s="44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ht="15.75" customHeight="1">
      <c r="A375" s="44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ht="15.75" customHeight="1">
      <c r="A376" s="44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ht="15.75" customHeight="1">
      <c r="A377" s="44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ht="15.75" customHeight="1">
      <c r="A378" s="44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ht="15.75" customHeight="1">
      <c r="A379" s="44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ht="15.75" customHeight="1">
      <c r="A380" s="44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ht="15.75" customHeight="1">
      <c r="A381" s="44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ht="15.75" customHeight="1">
      <c r="A382" s="44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ht="15.75" customHeight="1">
      <c r="A383" s="44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ht="15.75" customHeight="1">
      <c r="A384" s="44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ht="15.75" customHeight="1">
      <c r="A385" s="44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ht="15.75" customHeight="1">
      <c r="A386" s="44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ht="15.75" customHeight="1">
      <c r="A387" s="44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ht="15.75" customHeight="1">
      <c r="A388" s="44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ht="15.75" customHeight="1">
      <c r="A389" s="44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ht="15.75" customHeight="1">
      <c r="A390" s="44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ht="15.75" customHeight="1">
      <c r="A391" s="44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ht="15.75" customHeight="1">
      <c r="A392" s="44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ht="15.75" customHeight="1">
      <c r="A393" s="44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ht="15.75" customHeight="1">
      <c r="A394" s="44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ht="15.75" customHeight="1">
      <c r="A395" s="44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ht="15.75" customHeight="1">
      <c r="A396" s="44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ht="15.75" customHeight="1">
      <c r="A397" s="44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ht="15.75" customHeight="1">
      <c r="A398" s="44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ht="15.75" customHeight="1">
      <c r="A399" s="44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ht="15.75" customHeight="1">
      <c r="A400" s="44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ht="15.75" customHeight="1">
      <c r="A401" s="44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ht="15.75" customHeight="1">
      <c r="A402" s="44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ht="15.75" customHeight="1">
      <c r="A403" s="44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ht="15.75" customHeight="1">
      <c r="A404" s="44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ht="15.75" customHeight="1">
      <c r="A405" s="44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ht="15.75" customHeight="1">
      <c r="A406" s="44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ht="15.75" customHeight="1">
      <c r="A407" s="44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ht="15.75" customHeight="1">
      <c r="A408" s="44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ht="15.75" customHeight="1">
      <c r="A409" s="44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ht="15.75" customHeight="1">
      <c r="A410" s="44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ht="15.75" customHeight="1">
      <c r="A411" s="44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ht="15.75" customHeight="1">
      <c r="A412" s="44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ht="15.75" customHeight="1">
      <c r="A413" s="44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ht="15.75" customHeight="1">
      <c r="A414" s="44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ht="15.75" customHeight="1">
      <c r="A415" s="44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ht="15.75" customHeight="1">
      <c r="A416" s="44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ht="15.75" customHeight="1">
      <c r="A417" s="44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ht="15.75" customHeight="1">
      <c r="A418" s="44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ht="15.75" customHeight="1">
      <c r="A419" s="44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ht="15.75" customHeight="1">
      <c r="A420" s="44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ht="15.75" customHeight="1">
      <c r="A421" s="44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ht="15.75" customHeight="1">
      <c r="A422" s="44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ht="15.75" customHeight="1">
      <c r="A423" s="44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ht="15.75" customHeight="1">
      <c r="A424" s="44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ht="15.75" customHeight="1">
      <c r="A425" s="44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ht="15.75" customHeight="1">
      <c r="A426" s="44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ht="15.75" customHeight="1">
      <c r="A427" s="44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ht="15.75" customHeight="1">
      <c r="A428" s="44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ht="15.75" customHeight="1">
      <c r="A429" s="44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ht="15.75" customHeight="1">
      <c r="A430" s="44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ht="15.75" customHeight="1">
      <c r="A431" s="44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ht="15.75" customHeight="1">
      <c r="A432" s="44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ht="15.75" customHeight="1">
      <c r="A433" s="44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ht="15.75" customHeight="1">
      <c r="A434" s="44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ht="15.75" customHeight="1">
      <c r="A435" s="44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ht="15.75" customHeight="1">
      <c r="A436" s="44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ht="15.75" customHeight="1">
      <c r="A437" s="44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ht="15.75" customHeight="1">
      <c r="A438" s="44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ht="15.75" customHeight="1">
      <c r="A439" s="44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ht="15.75" customHeight="1">
      <c r="A440" s="44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ht="15.75" customHeight="1">
      <c r="A441" s="44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ht="15.75" customHeight="1">
      <c r="A442" s="44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ht="15.75" customHeight="1">
      <c r="A443" s="44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ht="15.75" customHeight="1">
      <c r="A444" s="44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ht="15.75" customHeight="1">
      <c r="A445" s="44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ht="15.75" customHeight="1">
      <c r="A446" s="44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ht="15.75" customHeight="1">
      <c r="A447" s="44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ht="15.75" customHeight="1">
      <c r="A448" s="44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ht="15.75" customHeight="1">
      <c r="A449" s="44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ht="15.75" customHeight="1">
      <c r="A450" s="44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ht="15.75" customHeight="1">
      <c r="A451" s="44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ht="15.75" customHeight="1">
      <c r="A452" s="44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ht="15.75" customHeight="1">
      <c r="A453" s="44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ht="15.75" customHeight="1">
      <c r="A454" s="44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ht="15.75" customHeight="1">
      <c r="A455" s="44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ht="15.75" customHeight="1">
      <c r="A456" s="44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spans="1:34" ht="15.75" customHeight="1">
      <c r="A457" s="44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ht="15.75" customHeight="1">
      <c r="A458" s="44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ht="15.75" customHeight="1">
      <c r="A459" s="44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ht="15.75" customHeight="1">
      <c r="A460" s="44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ht="15.75" customHeight="1">
      <c r="A461" s="44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ht="15.75" customHeight="1">
      <c r="A462" s="44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ht="15.75" customHeight="1">
      <c r="A463" s="44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ht="15.75" customHeight="1">
      <c r="A464" s="44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ht="15.75" customHeight="1">
      <c r="A465" s="44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ht="15.75" customHeight="1">
      <c r="A466" s="44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ht="15.75" customHeight="1">
      <c r="A467" s="44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ht="15.75" customHeight="1">
      <c r="A468" s="44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ht="15.75" customHeight="1">
      <c r="A469" s="44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ht="15.75" customHeight="1">
      <c r="A470" s="44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ht="15.75" customHeight="1">
      <c r="A471" s="44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ht="15.75" customHeight="1">
      <c r="A472" s="44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ht="15.75" customHeight="1">
      <c r="A473" s="44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ht="15.75" customHeight="1">
      <c r="A474" s="44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ht="15.75" customHeight="1">
      <c r="A475" s="44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ht="15.75" customHeight="1">
      <c r="A476" s="44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ht="15.75" customHeight="1">
      <c r="A477" s="44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ht="15.75" customHeight="1">
      <c r="A478" s="44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ht="15.75" customHeight="1">
      <c r="A479" s="44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ht="15.75" customHeight="1">
      <c r="A480" s="44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ht="15.75" customHeight="1">
      <c r="A481" s="44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ht="15.75" customHeight="1">
      <c r="A482" s="44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ht="15.75" customHeight="1">
      <c r="A483" s="44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ht="15.75" customHeight="1">
      <c r="A484" s="44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ht="15.75" customHeight="1">
      <c r="A485" s="44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ht="15.75" customHeight="1">
      <c r="A486" s="44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ht="15.75" customHeight="1">
      <c r="A487" s="44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ht="15.75" customHeight="1">
      <c r="A488" s="44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ht="15.75" customHeight="1">
      <c r="A489" s="44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spans="1:34" ht="15.75" customHeight="1">
      <c r="A490" s="44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ht="15.75" customHeight="1">
      <c r="A491" s="44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ht="15.75" customHeight="1">
      <c r="A492" s="44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ht="15.75" customHeight="1">
      <c r="A493" s="44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ht="15.75" customHeight="1">
      <c r="A494" s="44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ht="15.75" customHeight="1">
      <c r="A495" s="44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ht="15.75" customHeight="1">
      <c r="A496" s="44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ht="15.75" customHeight="1">
      <c r="A497" s="44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ht="15.75" customHeight="1">
      <c r="A498" s="44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ht="15.75" customHeight="1">
      <c r="A499" s="44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ht="15.75" customHeight="1">
      <c r="A500" s="44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ht="15.75" customHeight="1">
      <c r="A501" s="44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ht="15.75" customHeight="1">
      <c r="A502" s="44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ht="15.75" customHeight="1">
      <c r="A503" s="44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ht="15.75" customHeight="1">
      <c r="A504" s="44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ht="15.75" customHeight="1">
      <c r="A505" s="44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ht="15.75" customHeight="1">
      <c r="A506" s="44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ht="15.75" customHeight="1">
      <c r="A507" s="44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ht="15.75" customHeight="1">
      <c r="A508" s="44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ht="15.75" customHeight="1">
      <c r="A509" s="44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ht="15.75" customHeight="1">
      <c r="A510" s="44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ht="15.75" customHeight="1">
      <c r="A511" s="44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ht="15.75" customHeight="1">
      <c r="A512" s="44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ht="15.75" customHeight="1">
      <c r="A513" s="44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ht="15.75" customHeight="1">
      <c r="A514" s="44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ht="15.75" customHeight="1">
      <c r="A515" s="44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ht="15.75" customHeight="1">
      <c r="A516" s="44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spans="1:34" ht="15.75" customHeight="1">
      <c r="A517" s="44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spans="1:34" ht="15.75" customHeight="1">
      <c r="A518" s="44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ht="15.75" customHeight="1">
      <c r="A519" s="44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spans="1:34" ht="15.75" customHeight="1">
      <c r="A520" s="44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ht="15.75" customHeight="1">
      <c r="A521" s="44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ht="15.75" customHeight="1">
      <c r="A522" s="44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ht="15.75" customHeight="1">
      <c r="A523" s="44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ht="15.75" customHeight="1">
      <c r="A524" s="44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ht="15.75" customHeight="1">
      <c r="A525" s="44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ht="15.75" customHeight="1">
      <c r="A526" s="44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ht="15.75" customHeight="1">
      <c r="A527" s="44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ht="15.75" customHeight="1">
      <c r="A528" s="44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ht="15.75" customHeight="1">
      <c r="A529" s="44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ht="15.75" customHeight="1">
      <c r="A530" s="44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ht="15.75" customHeight="1">
      <c r="A531" s="44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ht="15.75" customHeight="1">
      <c r="A532" s="44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ht="15.75" customHeight="1">
      <c r="A533" s="44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ht="15.75" customHeight="1">
      <c r="A534" s="44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ht="15.75" customHeight="1">
      <c r="A535" s="44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ht="15.75" customHeight="1">
      <c r="A536" s="44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ht="15.75" customHeight="1">
      <c r="A537" s="44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ht="15.75" customHeight="1">
      <c r="A538" s="44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ht="15.75" customHeight="1">
      <c r="A539" s="44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ht="15.75" customHeight="1">
      <c r="A540" s="44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ht="15.75" customHeight="1">
      <c r="A541" s="44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ht="15.75" customHeight="1">
      <c r="A542" s="44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ht="15.75" customHeight="1">
      <c r="A543" s="44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ht="15.75" customHeight="1">
      <c r="A544" s="44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ht="15.75" customHeight="1">
      <c r="A545" s="44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ht="15.75" customHeight="1">
      <c r="A546" s="44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ht="15.75" customHeight="1">
      <c r="A547" s="44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ht="15.75" customHeight="1">
      <c r="A548" s="44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ht="15.75" customHeight="1">
      <c r="A549" s="44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ht="15.75" customHeight="1">
      <c r="A550" s="44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ht="15.75" customHeight="1">
      <c r="A551" s="44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ht="15.75" customHeight="1">
      <c r="A552" s="44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ht="15.75" customHeight="1">
      <c r="A553" s="44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ht="15.75" customHeight="1">
      <c r="A554" s="44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ht="15.75" customHeight="1">
      <c r="A555" s="44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ht="15.75" customHeight="1">
      <c r="A556" s="44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ht="15.75" customHeight="1">
      <c r="A557" s="44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ht="15.75" customHeight="1">
      <c r="A558" s="44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ht="15.75" customHeight="1">
      <c r="A559" s="44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ht="15.75" customHeight="1">
      <c r="A560" s="44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ht="15.75" customHeight="1">
      <c r="A561" s="44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ht="15.75" customHeight="1">
      <c r="A562" s="44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ht="15.75" customHeight="1">
      <c r="A563" s="44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ht="15.75" customHeight="1">
      <c r="A564" s="44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ht="15.75" customHeight="1">
      <c r="A565" s="44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ht="15.75" customHeight="1">
      <c r="A566" s="44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ht="15.75" customHeight="1">
      <c r="A567" s="44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ht="15.75" customHeight="1">
      <c r="A568" s="44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ht="15.75" customHeight="1">
      <c r="A569" s="44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ht="15.75" customHeight="1">
      <c r="A570" s="44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ht="15.75" customHeight="1">
      <c r="A571" s="44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ht="15.75" customHeight="1">
      <c r="A572" s="44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ht="15.75" customHeight="1">
      <c r="A573" s="44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ht="15.75" customHeight="1">
      <c r="A574" s="44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ht="15.75" customHeight="1">
      <c r="A575" s="44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ht="15.75" customHeight="1">
      <c r="A576" s="44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ht="15.75" customHeight="1">
      <c r="A577" s="44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ht="15.75" customHeight="1">
      <c r="A578" s="44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ht="15.75" customHeight="1">
      <c r="A579" s="44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ht="15.75" customHeight="1">
      <c r="A580" s="44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ht="15.75" customHeight="1">
      <c r="A581" s="44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ht="15.75" customHeight="1">
      <c r="A582" s="44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ht="15.75" customHeight="1">
      <c r="A583" s="44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ht="15.75" customHeight="1">
      <c r="A584" s="44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ht="15.75" customHeight="1">
      <c r="A585" s="44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ht="15.75" customHeight="1">
      <c r="A586" s="44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ht="15.75" customHeight="1">
      <c r="A587" s="44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ht="15.75" customHeight="1">
      <c r="A588" s="44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ht="15.75" customHeight="1">
      <c r="A589" s="44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ht="15.75" customHeight="1">
      <c r="A590" s="44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ht="15.75" customHeight="1">
      <c r="A591" s="44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ht="15.75" customHeight="1">
      <c r="A592" s="44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ht="15.75" customHeight="1">
      <c r="A593" s="44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ht="15.75" customHeight="1">
      <c r="A594" s="44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ht="15.75" customHeight="1">
      <c r="A595" s="44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ht="15.75" customHeight="1">
      <c r="A596" s="44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ht="15.75" customHeight="1">
      <c r="A597" s="44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ht="15.75" customHeight="1">
      <c r="A598" s="44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ht="15.75" customHeight="1">
      <c r="A599" s="44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ht="15.75" customHeight="1">
      <c r="A600" s="44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ht="15.75" customHeight="1">
      <c r="A601" s="44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ht="15.75" customHeight="1">
      <c r="A602" s="44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ht="15.75" customHeight="1">
      <c r="A603" s="44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ht="15.75" customHeight="1">
      <c r="A604" s="44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ht="15.75" customHeight="1">
      <c r="A605" s="44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ht="15.75" customHeight="1">
      <c r="A606" s="44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ht="15.75" customHeight="1">
      <c r="A607" s="44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ht="15.75" customHeight="1">
      <c r="A608" s="44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ht="15.75" customHeight="1">
      <c r="A609" s="44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ht="15.75" customHeight="1">
      <c r="A610" s="44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ht="15.75" customHeight="1">
      <c r="A611" s="44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ht="15.75" customHeight="1">
      <c r="A612" s="44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ht="15.75" customHeight="1">
      <c r="A613" s="44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ht="15.75" customHeight="1">
      <c r="A614" s="44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ht="15.75" customHeight="1">
      <c r="A615" s="44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ht="15.75" customHeight="1">
      <c r="A616" s="44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ht="15.75" customHeight="1">
      <c r="A617" s="44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ht="15.75" customHeight="1">
      <c r="A618" s="44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ht="15.75" customHeight="1">
      <c r="A619" s="44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ht="15.75" customHeight="1">
      <c r="A620" s="44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ht="15.75" customHeight="1">
      <c r="A621" s="44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ht="15.75" customHeight="1">
      <c r="A622" s="44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ht="15.75" customHeight="1">
      <c r="A623" s="44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ht="15.75" customHeight="1">
      <c r="A624" s="44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ht="15.75" customHeight="1">
      <c r="A625" s="44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ht="15.75" customHeight="1">
      <c r="A626" s="44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ht="15.75" customHeight="1">
      <c r="A627" s="44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ht="15.75" customHeight="1">
      <c r="A628" s="44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 ht="15.75" customHeight="1">
      <c r="A629" s="44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spans="1:34" ht="15.75" customHeight="1">
      <c r="A630" s="44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spans="1:34" ht="15.75" customHeight="1">
      <c r="A631" s="44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spans="1:34" ht="15.75" customHeight="1">
      <c r="A632" s="44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spans="1:34" ht="15.75" customHeight="1">
      <c r="A633" s="44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spans="1:34" ht="15.75" customHeight="1">
      <c r="A634" s="44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spans="1:34" ht="15.75" customHeight="1">
      <c r="A635" s="44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spans="1:34" ht="15.75" customHeight="1">
      <c r="A636" s="44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spans="1:34" ht="15.75" customHeight="1">
      <c r="A637" s="44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spans="1:34" ht="15.75" customHeight="1">
      <c r="A638" s="44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ht="15.75" customHeight="1">
      <c r="A639" s="44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spans="1:34" ht="15.75" customHeight="1">
      <c r="A640" s="44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ht="15.75" customHeight="1">
      <c r="A641" s="44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ht="15.75" customHeight="1">
      <c r="A642" s="44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ht="15.75" customHeight="1">
      <c r="A643" s="44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ht="15.75" customHeight="1">
      <c r="A644" s="44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spans="1:34" ht="15.75" customHeight="1">
      <c r="A645" s="44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ht="15.75" customHeight="1">
      <c r="A646" s="44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ht="15.75" customHeight="1">
      <c r="A647" s="44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spans="1:34" ht="15.75" customHeight="1">
      <c r="A648" s="44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spans="1:34" ht="15.75" customHeight="1">
      <c r="A649" s="44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spans="1:34" ht="15.75" customHeight="1">
      <c r="A650" s="44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spans="1:34" ht="15.75" customHeight="1">
      <c r="A651" s="44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spans="1:34" ht="15.75" customHeight="1">
      <c r="A652" s="44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spans="1:34" ht="15.75" customHeight="1">
      <c r="A653" s="44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spans="1:34" ht="15.75" customHeight="1">
      <c r="A654" s="44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spans="1:34" ht="15.75" customHeight="1">
      <c r="A655" s="44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spans="1:34" ht="15.75" customHeight="1">
      <c r="A656" s="44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spans="1:34" ht="15.75" customHeight="1">
      <c r="A657" s="44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ht="15.75" customHeight="1">
      <c r="A658" s="44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ht="15.75" customHeight="1">
      <c r="A659" s="44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spans="1:34" ht="15.75" customHeight="1">
      <c r="A660" s="44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 spans="1:34" ht="15.75" customHeight="1">
      <c r="A661" s="44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 spans="1:34" ht="15.75" customHeight="1">
      <c r="A662" s="44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 spans="1:34" ht="15.75" customHeight="1">
      <c r="A663" s="44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 spans="1:34" ht="15.75" customHeight="1">
      <c r="A664" s="44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ht="15.75" customHeight="1">
      <c r="A665" s="44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 spans="1:34" ht="15.75" customHeight="1">
      <c r="A666" s="44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 spans="1:34" ht="15.75" customHeight="1">
      <c r="A667" s="44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 spans="1:34" ht="15.75" customHeight="1">
      <c r="A668" s="44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 spans="1:34" ht="15.75" customHeight="1">
      <c r="A669" s="44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 spans="1:34" ht="15.75" customHeight="1">
      <c r="A670" s="44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 spans="1:34" ht="15.75" customHeight="1">
      <c r="A671" s="44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 spans="1:34" ht="15.75" customHeight="1">
      <c r="A672" s="44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 spans="1:34" ht="15.75" customHeight="1">
      <c r="A673" s="44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 spans="1:34" ht="15.75" customHeight="1">
      <c r="A674" s="44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 spans="1:34" ht="15.75" customHeight="1">
      <c r="A675" s="44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 spans="1:34" ht="15.75" customHeight="1">
      <c r="A676" s="44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 spans="1:34" ht="15.75" customHeight="1">
      <c r="A677" s="44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 spans="1:34" ht="15.75" customHeight="1">
      <c r="A678" s="44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 spans="1:34" ht="15.75" customHeight="1">
      <c r="A679" s="44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 spans="1:34" ht="15.75" customHeight="1">
      <c r="A680" s="44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 spans="1:34" ht="15.75" customHeight="1">
      <c r="A681" s="44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 spans="1:34" ht="15.75" customHeight="1">
      <c r="A682" s="44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 spans="1:34" ht="15.75" customHeight="1">
      <c r="A683" s="44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 spans="1:34" ht="15.75" customHeight="1">
      <c r="A684" s="44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 spans="1:34" ht="15.75" customHeight="1">
      <c r="A685" s="44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 spans="1:34" ht="15.75" customHeight="1">
      <c r="A686" s="44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 spans="1:34" ht="15.75" customHeight="1">
      <c r="A687" s="44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 spans="1:34" ht="15.75" customHeight="1">
      <c r="A688" s="44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 spans="1:34" ht="15.75" customHeight="1">
      <c r="A689" s="44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 spans="1:34" ht="15.75" customHeight="1">
      <c r="A690" s="44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 spans="1:34" ht="15.75" customHeight="1">
      <c r="A691" s="44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 spans="1:34" ht="15.75" customHeight="1">
      <c r="A692" s="44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 spans="1:34" ht="15.75" customHeight="1">
      <c r="A693" s="44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 spans="1:34" ht="15.75" customHeight="1">
      <c r="A694" s="44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 spans="1:34" ht="15.75" customHeight="1">
      <c r="A695" s="44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 spans="1:34" ht="15.75" customHeight="1">
      <c r="A696" s="44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 spans="1:34" ht="15.75" customHeight="1">
      <c r="A697" s="44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 spans="1:34" ht="15.75" customHeight="1">
      <c r="A698" s="44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 spans="1:34" ht="15.75" customHeight="1">
      <c r="A699" s="44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 spans="1:34" ht="15.75" customHeight="1">
      <c r="A700" s="44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 spans="1:34" ht="15.75" customHeight="1">
      <c r="A701" s="44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 spans="1:34" ht="15.75" customHeight="1">
      <c r="A702" s="44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 spans="1:34" ht="15.75" customHeight="1">
      <c r="A703" s="44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 spans="1:34" ht="15.75" customHeight="1">
      <c r="A704" s="44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 spans="1:34" ht="15.75" customHeight="1">
      <c r="A705" s="44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 spans="1:34" ht="15.75" customHeight="1">
      <c r="A706" s="44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 spans="1:34" ht="15.75" customHeight="1">
      <c r="A707" s="44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 spans="1:34" ht="15.75" customHeight="1">
      <c r="A708" s="44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 spans="1:34" ht="15.75" customHeight="1">
      <c r="A709" s="44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 spans="1:34" ht="15.75" customHeight="1">
      <c r="A710" s="44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 spans="1:34" ht="15.75" customHeight="1">
      <c r="A711" s="44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 spans="1:34" ht="15.75" customHeight="1">
      <c r="A712" s="44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 spans="1:34" ht="15.75" customHeight="1">
      <c r="A713" s="44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 spans="1:34" ht="15.75" customHeight="1">
      <c r="A714" s="44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 spans="1:34" ht="15.75" customHeight="1">
      <c r="A715" s="44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 spans="1:34" ht="15.75" customHeight="1">
      <c r="A716" s="44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 spans="1:34" ht="15.75" customHeight="1">
      <c r="A717" s="44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 spans="1:34" ht="15.75" customHeight="1">
      <c r="A718" s="44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 spans="1:34" ht="15.75" customHeight="1">
      <c r="A719" s="44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 spans="1:34" ht="15.75" customHeight="1">
      <c r="A720" s="44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 spans="1:34" ht="15.75" customHeight="1">
      <c r="A721" s="44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 spans="1:34" ht="15.75" customHeight="1">
      <c r="A722" s="44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 spans="1:34" ht="15.75" customHeight="1">
      <c r="A723" s="44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 spans="1:34" ht="15.75" customHeight="1">
      <c r="A724" s="44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 spans="1:34" ht="15.75" customHeight="1">
      <c r="A725" s="44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 spans="1:34" ht="15.75" customHeight="1">
      <c r="A726" s="44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 spans="1:34" ht="15.75" customHeight="1">
      <c r="A727" s="44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 spans="1:34" ht="15.75" customHeight="1">
      <c r="A728" s="44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 spans="1:34" ht="15.75" customHeight="1">
      <c r="A729" s="44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 spans="1:34" ht="15.75" customHeight="1">
      <c r="A730" s="44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 spans="1:34" ht="15.75" customHeight="1">
      <c r="A731" s="44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 spans="1:34" ht="15.75" customHeight="1">
      <c r="A732" s="44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 spans="1:34" ht="15.75" customHeight="1">
      <c r="A733" s="44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 spans="1:34" ht="15.75" customHeight="1">
      <c r="A734" s="44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 spans="1:34" ht="15.75" customHeight="1">
      <c r="A735" s="44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 spans="1:34" ht="15.75" customHeight="1">
      <c r="A736" s="44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 spans="1:34" ht="15.75" customHeight="1">
      <c r="A737" s="44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 spans="1:34" ht="15.75" customHeight="1">
      <c r="A738" s="44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 spans="1:34" ht="15.75" customHeight="1">
      <c r="A739" s="44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 spans="1:34" ht="15.75" customHeight="1">
      <c r="A740" s="44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 spans="1:34" ht="15.75" customHeight="1">
      <c r="A741" s="44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 spans="1:34" ht="15.75" customHeight="1">
      <c r="A742" s="44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 spans="1:34" ht="15.75" customHeight="1">
      <c r="A743" s="44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 spans="1:34" ht="15.75" customHeight="1">
      <c r="A744" s="44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 spans="1:34" ht="15.75" customHeight="1">
      <c r="A745" s="44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 spans="1:34" ht="15.75" customHeight="1">
      <c r="A746" s="44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 spans="1:34" ht="15.75" customHeight="1">
      <c r="A747" s="44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 spans="1:34" ht="15.75" customHeight="1">
      <c r="A748" s="44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 spans="1:34" ht="15.75" customHeight="1">
      <c r="A749" s="44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 spans="1:34" ht="15.75" customHeight="1">
      <c r="A750" s="44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 spans="1:34" ht="15.75" customHeight="1">
      <c r="A751" s="44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 spans="1:34" ht="15.75" customHeight="1">
      <c r="A752" s="44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 spans="1:34" ht="15.75" customHeight="1">
      <c r="A753" s="44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 spans="1:34" ht="15.75" customHeight="1">
      <c r="A754" s="44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 spans="1:34" ht="15.75" customHeight="1">
      <c r="A755" s="44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 spans="1:34" ht="15.75" customHeight="1">
      <c r="A756" s="44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 spans="1:34" ht="15.75" customHeight="1">
      <c r="A757" s="44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 spans="1:34" ht="15.75" customHeight="1">
      <c r="A758" s="44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 spans="1:34" ht="15.75" customHeight="1">
      <c r="A759" s="44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 spans="1:34" ht="15.75" customHeight="1">
      <c r="A760" s="44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 spans="1:34" ht="15.75" customHeight="1">
      <c r="A761" s="44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 spans="1:34" ht="15.75" customHeight="1">
      <c r="A762" s="44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 spans="1:34" ht="15.75" customHeight="1">
      <c r="A763" s="44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 spans="1:34" ht="15.75" customHeight="1">
      <c r="A764" s="44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 spans="1:34" ht="15.75" customHeight="1">
      <c r="A765" s="44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 spans="1:34" ht="15.75" customHeight="1">
      <c r="A766" s="44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 spans="1:34" ht="15.75" customHeight="1">
      <c r="A767" s="44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 spans="1:34" ht="15.75" customHeight="1">
      <c r="A768" s="44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 spans="1:34" ht="15.75" customHeight="1">
      <c r="A769" s="44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 spans="1:34" ht="15.75" customHeight="1">
      <c r="A770" s="44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 spans="1:34" ht="15.75" customHeight="1">
      <c r="A771" s="44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 spans="1:34" ht="15.75" customHeight="1">
      <c r="A772" s="44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 spans="1:34" ht="15.75" customHeight="1">
      <c r="A773" s="44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 spans="1:34" ht="15.75" customHeight="1">
      <c r="A774" s="44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 spans="1:34" ht="15.75" customHeight="1">
      <c r="A775" s="44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 spans="1:34" ht="15.75" customHeight="1">
      <c r="A776" s="44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 spans="1:34" ht="15.75" customHeight="1">
      <c r="A777" s="44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 spans="1:34" ht="15.75" customHeight="1">
      <c r="A778" s="44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 spans="1:34" ht="15.75" customHeight="1">
      <c r="A779" s="44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 spans="1:34" ht="15.75" customHeight="1">
      <c r="A780" s="44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 spans="1:34" ht="15.75" customHeight="1">
      <c r="A781" s="44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 spans="1:34" ht="15.75" customHeight="1">
      <c r="A782" s="44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 spans="1:34" ht="15.75" customHeight="1">
      <c r="A783" s="44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 spans="1:34" ht="15.75" customHeight="1">
      <c r="A784" s="44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 spans="1:34" ht="15.75" customHeight="1">
      <c r="A785" s="44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 spans="1:34" ht="15.75" customHeight="1">
      <c r="A786" s="44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 spans="1:34" ht="15.75" customHeight="1">
      <c r="A787" s="44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 spans="1:34" ht="15.75" customHeight="1">
      <c r="A788" s="44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 spans="1:34" ht="15.75" customHeight="1">
      <c r="A789" s="44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 spans="1:34" ht="15.75" customHeight="1">
      <c r="A790" s="44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 spans="1:34" ht="15.75" customHeight="1">
      <c r="A791" s="44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 spans="1:34" ht="15.75" customHeight="1">
      <c r="A792" s="44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 spans="1:34" ht="15.75" customHeight="1">
      <c r="A793" s="44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 spans="1:34" ht="15.75" customHeight="1">
      <c r="A794" s="44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 spans="1:34" ht="15.75" customHeight="1">
      <c r="A795" s="44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 spans="1:34" ht="15.75" customHeight="1">
      <c r="A796" s="44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 spans="1:34" ht="15.75" customHeight="1">
      <c r="A797" s="44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 spans="1:34" ht="15.75" customHeight="1">
      <c r="A798" s="44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 spans="1:34" ht="15.75" customHeight="1">
      <c r="A799" s="44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 spans="1:34" ht="15.75" customHeight="1">
      <c r="A800" s="44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 spans="1:34" ht="15.75" customHeight="1">
      <c r="A801" s="44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 spans="1:34" ht="15.75" customHeight="1">
      <c r="A802" s="44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 spans="1:34" ht="15.75" customHeight="1">
      <c r="A803" s="44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 spans="1:34" ht="15.75" customHeight="1">
      <c r="A804" s="44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 spans="1:34" ht="15.75" customHeight="1">
      <c r="A805" s="44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 spans="1:34" ht="15.75" customHeight="1">
      <c r="A806" s="44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 spans="1:34" ht="15.75" customHeight="1">
      <c r="A807" s="44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 spans="1:34" ht="15.75" customHeight="1">
      <c r="A808" s="44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 spans="1:34" ht="15.75" customHeight="1">
      <c r="A809" s="44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 spans="1:34" ht="15.75" customHeight="1">
      <c r="A810" s="44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 spans="1:34" ht="15.75" customHeight="1">
      <c r="A811" s="44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 spans="1:34" ht="15.75" customHeight="1">
      <c r="A812" s="44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 spans="1:34" ht="15.75" customHeight="1">
      <c r="A813" s="44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 spans="1:34" ht="15.75" customHeight="1">
      <c r="A814" s="44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 spans="1:34" ht="15.75" customHeight="1">
      <c r="A815" s="44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 spans="1:34" ht="15.75" customHeight="1">
      <c r="A816" s="44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 spans="1:34" ht="15.75" customHeight="1">
      <c r="A817" s="44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 spans="1:34" ht="15.75" customHeight="1">
      <c r="A818" s="44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 spans="1:34" ht="15.75" customHeight="1">
      <c r="A819" s="44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 spans="1:34" ht="15.75" customHeight="1">
      <c r="A820" s="44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 spans="1:34" ht="15.75" customHeight="1">
      <c r="A821" s="44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 spans="1:34" ht="15.75" customHeight="1">
      <c r="A822" s="44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 spans="1:34" ht="15.75" customHeight="1">
      <c r="A823" s="44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 spans="1:34" ht="15.75" customHeight="1">
      <c r="A824" s="44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 spans="1:34" ht="15.75" customHeight="1">
      <c r="A825" s="44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 spans="1:34" ht="15.75" customHeight="1">
      <c r="A826" s="44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 spans="1:34" ht="15.75" customHeight="1">
      <c r="A827" s="44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 spans="1:34" ht="15.75" customHeight="1">
      <c r="A828" s="44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 spans="1:34" ht="15.75" customHeight="1">
      <c r="A829" s="44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 spans="1:34" ht="15.75" customHeight="1">
      <c r="A830" s="44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 spans="1:34" ht="15.75" customHeight="1">
      <c r="A831" s="44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 spans="1:34" ht="15.75" customHeight="1">
      <c r="A832" s="44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 spans="1:34" ht="15.75" customHeight="1">
      <c r="A833" s="44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 spans="1:34" ht="15.75" customHeight="1">
      <c r="A834" s="44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 spans="1:34" ht="15.75" customHeight="1">
      <c r="A835" s="44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 spans="1:34" ht="15.75" customHeight="1">
      <c r="A836" s="44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 spans="1:34" ht="15.75" customHeight="1">
      <c r="A837" s="44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 spans="1:34" ht="15.75" customHeight="1">
      <c r="A838" s="44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 spans="1:34" ht="15.75" customHeight="1">
      <c r="A839" s="44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 spans="1:34" ht="15.75" customHeight="1">
      <c r="A840" s="44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 spans="1:34" ht="15.75" customHeight="1">
      <c r="A841" s="44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 spans="1:34" ht="15.75" customHeight="1">
      <c r="A842" s="44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 spans="1:34" ht="15.75" customHeight="1">
      <c r="A843" s="44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 spans="1:34" ht="15.75" customHeight="1">
      <c r="A844" s="44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 spans="1:34" ht="15.75" customHeight="1">
      <c r="A845" s="44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 spans="1:34" ht="15.75" customHeight="1">
      <c r="A846" s="44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 spans="1:34" ht="15.75" customHeight="1">
      <c r="A847" s="44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 spans="1:34" ht="15.75" customHeight="1">
      <c r="A848" s="44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 spans="1:34" ht="15.75" customHeight="1">
      <c r="A849" s="44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 spans="1:34" ht="15.75" customHeight="1">
      <c r="A850" s="44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 spans="1:34" ht="15.75" customHeight="1">
      <c r="A851" s="44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 spans="1:34" ht="15.75" customHeight="1">
      <c r="A852" s="44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 spans="1:34" ht="15.75" customHeight="1">
      <c r="A853" s="44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 spans="1:34" ht="15.75" customHeight="1">
      <c r="A854" s="44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 spans="1:34" ht="15.75" customHeight="1">
      <c r="A855" s="44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 spans="1:34" ht="15.75" customHeight="1">
      <c r="A856" s="44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 spans="1:34" ht="15.75" customHeight="1">
      <c r="A857" s="44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 spans="1:34" ht="15.75" customHeight="1">
      <c r="A858" s="44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 spans="1:34" ht="15.75" customHeight="1">
      <c r="A859" s="44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 spans="1:34" ht="15.75" customHeight="1">
      <c r="A860" s="44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 spans="1:34" ht="15.75" customHeight="1">
      <c r="A861" s="44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 spans="1:34" ht="15.75" customHeight="1">
      <c r="A862" s="44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 spans="1:34" ht="15.75" customHeight="1">
      <c r="A863" s="44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 spans="1:34" ht="15.75" customHeight="1">
      <c r="A864" s="44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 spans="1:34" ht="15.75" customHeight="1">
      <c r="A865" s="44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 spans="1:34" ht="15.75" customHeight="1">
      <c r="A866" s="44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 spans="1:34" ht="15.75" customHeight="1">
      <c r="A867" s="44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 spans="1:34" ht="15.75" customHeight="1">
      <c r="A868" s="44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 spans="1:34" ht="15.75" customHeight="1">
      <c r="A869" s="44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 spans="1:34" ht="15.75" customHeight="1">
      <c r="A870" s="44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 spans="1:34" ht="15.75" customHeight="1">
      <c r="A871" s="44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 spans="1:34" ht="15.75" customHeight="1">
      <c r="A872" s="44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 spans="1:34" ht="15.75" customHeight="1">
      <c r="A873" s="44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 spans="1:34" ht="15.75" customHeight="1">
      <c r="A874" s="44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 spans="1:34" ht="15.75" customHeight="1">
      <c r="A875" s="44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 spans="1:34" ht="15.75" customHeight="1">
      <c r="A876" s="44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 spans="1:34" ht="15.75" customHeight="1">
      <c r="A877" s="44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 spans="1:34" ht="15.75" customHeight="1">
      <c r="A878" s="44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 spans="1:34" ht="15.75" customHeight="1">
      <c r="A879" s="44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 spans="1:34" ht="15.75" customHeight="1">
      <c r="A880" s="44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 spans="1:34" ht="15.75" customHeight="1">
      <c r="A881" s="44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 spans="1:34" ht="15.75" customHeight="1">
      <c r="A882" s="44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 spans="1:34" ht="15.75" customHeight="1">
      <c r="A883" s="44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 spans="1:34" ht="15.75" customHeight="1">
      <c r="A884" s="44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 spans="1:34" ht="15.75" customHeight="1">
      <c r="A885" s="44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 spans="1:34" ht="15.75" customHeight="1">
      <c r="A886" s="44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 spans="1:34" ht="15.75" customHeight="1">
      <c r="A887" s="44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 spans="1:34" ht="15.75" customHeight="1">
      <c r="A888" s="44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 spans="1:34" ht="15.75" customHeight="1">
      <c r="A889" s="44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 spans="1:34" ht="15.75" customHeight="1">
      <c r="A890" s="44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 spans="1:34" ht="15.75" customHeight="1">
      <c r="A891" s="44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 spans="1:34" ht="15.75" customHeight="1">
      <c r="A892" s="44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 spans="1:34" ht="15.75" customHeight="1">
      <c r="A893" s="44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 spans="1:34" ht="15.75" customHeight="1">
      <c r="A894" s="44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 spans="1:34" ht="15.75" customHeight="1">
      <c r="A895" s="44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 spans="1:34" ht="15.75" customHeight="1">
      <c r="A896" s="44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 spans="1:34" ht="15.75" customHeight="1">
      <c r="A897" s="44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 spans="1:34" ht="15.75" customHeight="1">
      <c r="A898" s="44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 spans="1:34" ht="15.75" customHeight="1">
      <c r="A899" s="44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 spans="1:34" ht="15.75" customHeight="1">
      <c r="A900" s="44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 spans="1:34" ht="15.75" customHeight="1">
      <c r="A901" s="44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 spans="1:34" ht="15.75" customHeight="1">
      <c r="A902" s="44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 spans="1:34" ht="15.75" customHeight="1">
      <c r="A903" s="44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 spans="1:34" ht="15.75" customHeight="1">
      <c r="A904" s="44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 spans="1:34" ht="15.75" customHeight="1">
      <c r="A905" s="44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 spans="1:34" ht="15.75" customHeight="1">
      <c r="A906" s="44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 spans="1:34" ht="15.75" customHeight="1">
      <c r="A907" s="44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 spans="1:34" ht="15.75" customHeight="1">
      <c r="A908" s="44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 spans="1:34" ht="15.75" customHeight="1">
      <c r="A909" s="44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 spans="1:34" ht="15.75" customHeight="1">
      <c r="A910" s="44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 spans="1:34" ht="15.75" customHeight="1">
      <c r="A911" s="44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 spans="1:34" ht="15.75" customHeight="1">
      <c r="A912" s="44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 spans="1:34" ht="15.75" customHeight="1">
      <c r="A913" s="44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 spans="1:34" ht="15.75" customHeight="1">
      <c r="A914" s="44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 spans="1:34" ht="15.75" customHeight="1">
      <c r="A915" s="44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 spans="1:34" ht="15.75" customHeight="1">
      <c r="A916" s="44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 spans="1:34" ht="15.75" customHeight="1">
      <c r="A917" s="44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 spans="1:34" ht="15.75" customHeight="1">
      <c r="A918" s="44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 spans="1:34" ht="15.75" customHeight="1">
      <c r="A919" s="44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 spans="1:34" ht="15.75" customHeight="1">
      <c r="A920" s="44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 spans="1:34" ht="15.75" customHeight="1">
      <c r="A921" s="44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 spans="1:34" ht="15.75" customHeight="1">
      <c r="A922" s="44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 spans="1:34" ht="15.75" customHeight="1">
      <c r="A923" s="44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 spans="1:34" ht="15.75" customHeight="1">
      <c r="A924" s="44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 spans="1:34" ht="15.75" customHeight="1">
      <c r="A925" s="44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 spans="1:34" ht="15.75" customHeight="1">
      <c r="A926" s="44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 spans="1:34" ht="15.75" customHeight="1">
      <c r="A927" s="44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 spans="1:34" ht="15.75" customHeight="1">
      <c r="A928" s="44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 spans="1:34" ht="15.75" customHeight="1">
      <c r="A929" s="44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 spans="1:34" ht="15.75" customHeight="1">
      <c r="A930" s="44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 spans="1:34" ht="15.75" customHeight="1">
      <c r="A931" s="44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 spans="1:34" ht="15.75" customHeight="1">
      <c r="A932" s="44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 spans="1:34" ht="15.75" customHeight="1">
      <c r="A933" s="44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 spans="1:34" ht="15.75" customHeight="1">
      <c r="A934" s="44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 spans="1:34" ht="15.75" customHeight="1">
      <c r="A935" s="44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 spans="1:34" ht="15.75" customHeight="1">
      <c r="A936" s="44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 spans="1:34" ht="15.75" customHeight="1">
      <c r="A937" s="44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 spans="1:34" ht="15.75" customHeight="1">
      <c r="A938" s="44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 spans="1:34" ht="15.75" customHeight="1">
      <c r="A939" s="44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 spans="1:34" ht="15.75" customHeight="1">
      <c r="A940" s="44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 spans="1:34" ht="15.75" customHeight="1">
      <c r="A941" s="44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 spans="1:34" ht="15.75" customHeight="1">
      <c r="A942" s="44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 spans="1:34" ht="15.75" customHeight="1">
      <c r="A943" s="44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 spans="1:34" ht="15.75" customHeight="1">
      <c r="A944" s="44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 spans="1:34" ht="15.75" customHeight="1">
      <c r="A945" s="44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 spans="1:34" ht="15.75" customHeight="1">
      <c r="A946" s="44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 spans="1:34" ht="15.75" customHeight="1">
      <c r="A947" s="44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 spans="1:34" ht="15.75" customHeight="1">
      <c r="A948" s="44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 spans="1:34" ht="15.75" customHeight="1">
      <c r="A949" s="44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 spans="1:34" ht="15.75" customHeight="1">
      <c r="A950" s="44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 spans="1:34" ht="15.75" customHeight="1">
      <c r="A951" s="44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 spans="1:34" ht="15.75" customHeight="1">
      <c r="A952" s="44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 spans="1:34" ht="15.75" customHeight="1">
      <c r="A953" s="44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 spans="1:34" ht="15.75" customHeight="1">
      <c r="A954" s="44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 spans="1:34" ht="15.75" customHeight="1">
      <c r="A955" s="44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 spans="1:34" ht="15.75" customHeight="1">
      <c r="A956" s="44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 spans="1:34" ht="15.75" customHeight="1">
      <c r="A957" s="44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 spans="1:34" ht="15.75" customHeight="1">
      <c r="A958" s="44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 spans="1:34" ht="15.75" customHeight="1">
      <c r="A959" s="44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 spans="1:34" ht="15.75" customHeight="1">
      <c r="A960" s="44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 spans="1:34" ht="15.75" customHeight="1">
      <c r="A961" s="44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 spans="1:34" ht="15.75" customHeight="1">
      <c r="A962" s="44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 spans="1:34" ht="15.75" customHeight="1">
      <c r="A963" s="44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 spans="1:34" ht="15.75" customHeight="1">
      <c r="A964" s="44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 spans="1:34" ht="15.75" customHeight="1">
      <c r="A965" s="44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 spans="1:34" ht="15.75" customHeight="1">
      <c r="A966" s="44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 spans="1:34" ht="15.75" customHeight="1">
      <c r="A967" s="44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 spans="1:34" ht="15.75" customHeight="1">
      <c r="A968" s="44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 spans="1:34" ht="15.75" customHeight="1">
      <c r="A969" s="44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 spans="1:34" ht="15.75" customHeight="1">
      <c r="A970" s="44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 spans="1:34" ht="15.75" customHeight="1">
      <c r="A971" s="44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 spans="1:34" ht="15.75" customHeight="1">
      <c r="A972" s="44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 spans="1:34" ht="15.75" customHeight="1">
      <c r="A973" s="44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 spans="1:34" ht="15.75" customHeight="1">
      <c r="A974" s="44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 spans="1:34" ht="15.75" customHeight="1">
      <c r="A975" s="44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 spans="1:34" ht="15.75" customHeight="1">
      <c r="A976" s="44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 spans="1:34" ht="15.75" customHeight="1">
      <c r="A977" s="44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 spans="1:34" ht="15.75" customHeight="1">
      <c r="A978" s="44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 spans="1:34" ht="15.75" customHeight="1">
      <c r="A979" s="44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 spans="1:34" ht="15.75" customHeight="1">
      <c r="A980" s="44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 spans="1:34" ht="15.75" customHeight="1">
      <c r="A981" s="44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 spans="1:34" ht="15.75" customHeight="1">
      <c r="A982" s="44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 spans="1:34" ht="15.75" customHeight="1">
      <c r="A983" s="44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 spans="1:34" ht="15.75" customHeight="1">
      <c r="A984" s="44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 spans="1:34" ht="15.75" customHeight="1">
      <c r="A985" s="44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 spans="1:34" ht="15.75" customHeight="1">
      <c r="A986" s="44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 spans="1:34" ht="15.75" customHeight="1">
      <c r="A987" s="44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 spans="1:34" ht="15.75" customHeight="1">
      <c r="A988" s="44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 spans="1:34" ht="15.75" customHeight="1">
      <c r="A989" s="44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 spans="1:34" ht="15.75" customHeight="1">
      <c r="A990" s="44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 spans="1:34" ht="15.75" customHeight="1">
      <c r="A991" s="44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 spans="1:34" ht="15.75" customHeight="1">
      <c r="A992" s="44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 spans="1:34" ht="15.75" customHeight="1">
      <c r="A993" s="44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 spans="1:34" ht="15.75" customHeight="1">
      <c r="A994" s="44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 spans="1:34" ht="15.75" customHeight="1">
      <c r="A995" s="44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 spans="1:34" ht="15.75" customHeight="1">
      <c r="A996" s="44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 spans="1:34" ht="15.75" customHeight="1">
      <c r="A997" s="44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 spans="1:34" ht="15.75" customHeight="1">
      <c r="A998" s="44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 spans="1:34" ht="15.75" customHeight="1">
      <c r="A999" s="44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 spans="1:34" ht="15.75" customHeight="1">
      <c r="A1000" s="44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  <row r="1001" spans="1:34" ht="15.75" customHeight="1">
      <c r="A1001" s="44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</row>
    <row r="1002" spans="1:34" ht="15.75" customHeight="1">
      <c r="A1002" s="44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</row>
    <row r="1003" spans="1:34" ht="15.75" customHeight="1">
      <c r="A1003" s="44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</row>
    <row r="1004" spans="1:34" ht="15.75" customHeight="1">
      <c r="A1004" s="44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</row>
    <row r="1005" spans="1:34" ht="15.75" customHeight="1">
      <c r="A1005" s="44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</row>
    <row r="1006" spans="1:34" ht="15.75" customHeight="1">
      <c r="A1006" s="44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</row>
    <row r="1007" spans="1:34" ht="15.75" customHeight="1">
      <c r="A1007" s="44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</row>
    <row r="1008" spans="1:34" ht="15.75" customHeight="1">
      <c r="A1008" s="44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</row>
    <row r="1009" spans="1:34" ht="15.75" customHeight="1">
      <c r="A1009" s="44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</row>
    <row r="1010" spans="1:34" ht="15.75" customHeight="1">
      <c r="A1010" s="44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</row>
    <row r="1011" spans="1:34" ht="15.75" customHeight="1">
      <c r="A1011" s="44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</row>
    <row r="1012" spans="1:34" ht="15.75" customHeight="1">
      <c r="A1012" s="44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</row>
    <row r="1013" spans="1:34" ht="15.75" customHeight="1">
      <c r="A1013" s="44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</row>
    <row r="1014" spans="1:34" ht="15.75" customHeight="1">
      <c r="A1014" s="44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</row>
    <row r="1015" spans="1:34" ht="15.75" customHeight="1">
      <c r="A1015" s="44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</row>
    <row r="1016" spans="1:34" ht="15.75" customHeight="1">
      <c r="A1016" s="44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</row>
    <row r="1017" spans="1:34" ht="15.75" customHeight="1">
      <c r="A1017" s="44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</row>
    <row r="1018" spans="1:34" ht="15.75" customHeight="1">
      <c r="A1018" s="44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</row>
    <row r="1019" spans="1:34" ht="15.75" customHeight="1">
      <c r="A1019" s="44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</row>
  </sheetData>
  <mergeCells count="3">
    <mergeCell ref="AA3:AB3"/>
    <mergeCell ref="AA8:AB8"/>
    <mergeCell ref="AA9:AB9"/>
  </mergeCells>
  <conditionalFormatting sqref="A58">
    <cfRule type="cellIs" priority="1" dxfId="0" operator="lessThan">
      <formula>0</formula>
    </cfRule>
  </conditionalFormatting>
  <conditionalFormatting sqref="T2:T54 U2:V63 T56:T63">
    <cfRule type="cellIs" priority="2" dxfId="1" operator="lessThanOrEqual">
      <formula>97</formula>
    </cfRule>
  </conditionalFormatting>
  <conditionalFormatting sqref="T2:T54 U2:V63 T56:T63">
    <cfRule type="cellIs" priority="3" dxfId="2" operator="greaterThan">
      <formula>97</formula>
    </cfRule>
  </conditionalFormatting>
  <conditionalFormatting sqref="B52:F52 H52:J52">
    <cfRule type="cellIs" priority="4" dxfId="0" operator="lessThan">
      <formula>SUM($I$4:$I$6)</formula>
    </cfRule>
  </conditionalFormatting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200-000000000000}">
  <dimension ref="A1:X59"/>
  <sheetViews>
    <sheetView rightToLeft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ColWidth="12.635" defaultRowHeight="15" customHeight="1"/>
  <cols>
    <col min="1" max="1" width="18.625" customWidth="1"/>
    <col min="2" max="2" width="12.75" customWidth="1"/>
    <col min="3" max="3" width="13" customWidth="1"/>
    <col min="4" max="5" width="11.875" customWidth="1"/>
    <col min="6" max="6" width="15.75" customWidth="1"/>
    <col min="7" max="7" width="12.25" customWidth="1"/>
    <col min="8" max="9" width="12" customWidth="1"/>
    <col min="10" max="10" width="11.5" customWidth="1"/>
    <col min="11" max="15" width="10" customWidth="1"/>
    <col min="16" max="16" width="14" customWidth="1"/>
    <col min="17" max="17" width="9.75" customWidth="1"/>
    <col min="18" max="18" width="11.5" customWidth="1"/>
    <col min="19" max="19" width="8.25" customWidth="1"/>
    <col min="20" max="20" width="9.125" customWidth="1"/>
    <col min="21" max="21" width="8.25" customWidth="1"/>
    <col min="22" max="22" width="14.375" customWidth="1"/>
    <col min="23" max="23" width="16.125" customWidth="1"/>
    <col min="24" max="24" width="14.375" customWidth="1"/>
  </cols>
  <sheetData>
    <row r="1" spans="1:21" ht="30" customHeight="1" thickBot="1">
      <c r="A1" s="101" t="s">
        <v>29</v>
      </c>
      <c r="B1" s="102" t="s">
        <v>30</v>
      </c>
      <c r="C1" s="103"/>
      <c r="D1" s="102" t="s">
        <v>32</v>
      </c>
      <c r="E1" s="102" t="s">
        <v>33</v>
      </c>
      <c r="F1" s="102" t="s">
        <v>34</v>
      </c>
      <c r="G1" s="102" t="s">
        <v>35</v>
      </c>
      <c r="H1" s="104" t="s">
        <v>36</v>
      </c>
      <c r="I1" s="102" t="s">
        <v>84</v>
      </c>
      <c r="J1" s="105" t="s">
        <v>85</v>
      </c>
      <c r="K1" s="106" t="s">
        <v>86</v>
      </c>
      <c r="L1" s="106" t="s">
        <v>87</v>
      </c>
      <c r="M1" s="102" t="s">
        <v>88</v>
      </c>
      <c r="N1" s="107" t="s">
        <v>89</v>
      </c>
      <c r="O1" s="102" t="s">
        <v>90</v>
      </c>
      <c r="P1" s="108" t="s">
        <v>91</v>
      </c>
      <c r="Q1" s="109" t="s">
        <v>92</v>
      </c>
      <c r="R1" s="109" t="s">
        <v>93</v>
      </c>
      <c r="S1" s="110" t="s">
        <v>47</v>
      </c>
      <c r="T1" s="110" t="s">
        <v>48</v>
      </c>
      <c r="U1" s="110" t="s">
        <v>49</v>
      </c>
    </row>
    <row r="2" spans="1:24" ht="13.5" customHeight="1" thickBot="1">
      <c r="A2" s="111" t="s">
        <v>12</v>
      </c>
      <c r="B2" s="112">
        <v>18</v>
      </c>
      <c r="C2" s="113"/>
      <c r="D2" s="112">
        <v>29</v>
      </c>
      <c r="E2" s="112">
        <v>25</v>
      </c>
      <c r="F2" s="112">
        <v>13</v>
      </c>
      <c r="G2" s="112">
        <v>16</v>
      </c>
      <c r="H2" s="114"/>
      <c r="I2" s="112"/>
      <c r="J2" s="114"/>
      <c r="K2" s="114"/>
      <c r="L2" s="112">
        <v>80</v>
      </c>
      <c r="M2" s="112">
        <v>0</v>
      </c>
      <c r="N2" s="112"/>
      <c r="O2" s="114"/>
      <c r="P2" s="114"/>
      <c r="Q2" s="115"/>
      <c r="R2" s="115"/>
      <c r="S2" s="115">
        <f t="shared" si="0" ref="S2:S19">SUM(B2:H2)</f>
        <v>101</v>
      </c>
      <c r="T2" s="114">
        <f t="shared" si="1" ref="T2:T19">SUM(I2:R2)</f>
        <v>80</v>
      </c>
      <c r="U2" s="114">
        <f t="shared" si="2" ref="U2:U19">T2+S2</f>
        <v>181</v>
      </c>
      <c r="W2" s="116" t="s">
        <v>12</v>
      </c>
      <c r="X2" s="117">
        <f t="shared" si="3" ref="X2:X19">U2</f>
        <v>181</v>
      </c>
    </row>
    <row r="3" spans="1:24" ht="13.5" customHeight="1" thickBot="1">
      <c r="A3" s="111" t="s">
        <v>13</v>
      </c>
      <c r="B3" s="112">
        <v>15</v>
      </c>
      <c r="C3" s="118"/>
      <c r="D3" s="112">
        <v>3</v>
      </c>
      <c r="E3" s="112">
        <v>14</v>
      </c>
      <c r="F3" s="112">
        <v>7</v>
      </c>
      <c r="G3" s="112">
        <f>19-5</f>
        <v>14</v>
      </c>
      <c r="H3" s="114"/>
      <c r="I3" s="114"/>
      <c r="J3" s="114"/>
      <c r="K3" s="114"/>
      <c r="L3" s="114"/>
      <c r="M3" s="114"/>
      <c r="N3" s="112">
        <v>0</v>
      </c>
      <c r="O3" s="114"/>
      <c r="P3" s="114"/>
      <c r="Q3" s="115"/>
      <c r="R3" s="119">
        <v>0</v>
      </c>
      <c r="S3" s="115">
        <f t="shared" si="0"/>
        <v>53</v>
      </c>
      <c r="T3" s="114">
        <f t="shared" si="1"/>
        <v>0</v>
      </c>
      <c r="U3" s="114">
        <f t="shared" si="2"/>
        <v>53</v>
      </c>
      <c r="W3" s="120" t="str">
        <f>A3</f>
        <v>נפיץ M107A3 / סרבי</v>
      </c>
      <c r="X3" s="117">
        <f t="shared" si="3"/>
        <v>53</v>
      </c>
    </row>
    <row r="4" spans="1:24" ht="13.5" customHeight="1" thickBot="1">
      <c r="A4" s="111" t="s">
        <v>14</v>
      </c>
      <c r="B4" s="112">
        <v>37</v>
      </c>
      <c r="C4" s="113"/>
      <c r="D4" s="112">
        <v>29</v>
      </c>
      <c r="E4" s="112">
        <v>37</v>
      </c>
      <c r="F4" s="112">
        <v>29</v>
      </c>
      <c r="G4" s="112">
        <v>37</v>
      </c>
      <c r="H4" s="114"/>
      <c r="I4" s="112">
        <v>16</v>
      </c>
      <c r="J4" s="114"/>
      <c r="K4" s="114"/>
      <c r="L4" s="114"/>
      <c r="M4" s="112">
        <v>0</v>
      </c>
      <c r="N4" s="112">
        <v>0</v>
      </c>
      <c r="O4" s="114"/>
      <c r="P4" s="114"/>
      <c r="Q4" s="119">
        <v>24</v>
      </c>
      <c r="R4" s="115"/>
      <c r="S4" s="115">
        <f t="shared" si="0"/>
        <v>169</v>
      </c>
      <c r="T4" s="114">
        <f t="shared" si="1"/>
        <v>40</v>
      </c>
      <c r="U4" s="114">
        <f t="shared" si="2"/>
        <v>209</v>
      </c>
      <c r="W4" s="121" t="s">
        <v>14</v>
      </c>
      <c r="X4" s="117">
        <f t="shared" si="3"/>
        <v>209</v>
      </c>
    </row>
    <row r="5" spans="1:24" ht="13.5" customHeight="1" thickBot="1">
      <c r="A5" s="111" t="s">
        <v>15</v>
      </c>
      <c r="B5" s="112">
        <v>16</v>
      </c>
      <c r="C5" s="118"/>
      <c r="D5" s="112">
        <v>10</v>
      </c>
      <c r="E5" s="112">
        <v>16</v>
      </c>
      <c r="F5" s="112">
        <v>24</v>
      </c>
      <c r="G5" s="112">
        <v>16</v>
      </c>
      <c r="H5" s="114"/>
      <c r="I5" s="112"/>
      <c r="J5" s="114"/>
      <c r="K5" s="114"/>
      <c r="L5" s="114"/>
      <c r="M5" s="114"/>
      <c r="N5" s="114"/>
      <c r="O5" s="114"/>
      <c r="P5" s="112">
        <v>64</v>
      </c>
      <c r="Q5" s="115"/>
      <c r="R5" s="115"/>
      <c r="S5" s="115">
        <f t="shared" si="0"/>
        <v>82</v>
      </c>
      <c r="T5" s="114">
        <f t="shared" si="1"/>
        <v>64</v>
      </c>
      <c r="U5" s="114">
        <f t="shared" si="2"/>
        <v>146</v>
      </c>
      <c r="W5" s="121" t="s">
        <v>15</v>
      </c>
      <c r="X5" s="117">
        <f t="shared" si="3"/>
        <v>146</v>
      </c>
    </row>
    <row r="6" spans="1:24" ht="13.5" customHeight="1" thickBot="1">
      <c r="A6" s="111" t="s">
        <v>16</v>
      </c>
      <c r="B6" s="112">
        <v>17</v>
      </c>
      <c r="C6" s="113"/>
      <c r="D6" s="112">
        <v>8</v>
      </c>
      <c r="E6" s="112">
        <v>14</v>
      </c>
      <c r="F6" s="112">
        <v>14</v>
      </c>
      <c r="G6" s="112">
        <v>22</v>
      </c>
      <c r="H6" s="114"/>
      <c r="I6" s="114"/>
      <c r="L6" s="114"/>
      <c r="M6" s="114"/>
      <c r="N6" s="114"/>
      <c r="O6" s="112">
        <v>0</v>
      </c>
      <c r="P6" s="114"/>
      <c r="Q6" s="115"/>
      <c r="R6" s="115"/>
      <c r="S6" s="115">
        <f t="shared" si="0"/>
        <v>75</v>
      </c>
      <c r="T6" s="114">
        <f t="shared" si="1"/>
        <v>0</v>
      </c>
      <c r="U6" s="114">
        <f t="shared" si="2"/>
        <v>75</v>
      </c>
      <c r="W6" s="121" t="s">
        <v>16</v>
      </c>
      <c r="X6" s="117">
        <f t="shared" si="3"/>
        <v>75</v>
      </c>
    </row>
    <row r="7" spans="1:24" ht="15" thickBot="1">
      <c r="A7" s="111" t="s">
        <v>17</v>
      </c>
      <c r="B7" s="9"/>
      <c r="C7" s="122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23"/>
      <c r="R7" s="123"/>
      <c r="S7" s="115">
        <f t="shared" si="0"/>
        <v>0</v>
      </c>
      <c r="T7" s="114">
        <f t="shared" si="1"/>
        <v>0</v>
      </c>
      <c r="U7" s="114">
        <f t="shared" si="2"/>
        <v>0</v>
      </c>
      <c r="W7" s="121" t="s">
        <v>17</v>
      </c>
      <c r="X7" s="117">
        <f t="shared" si="3"/>
        <v>0</v>
      </c>
    </row>
    <row r="8" spans="1:24" ht="15" thickBot="1">
      <c r="A8" s="111" t="s">
        <v>18</v>
      </c>
      <c r="B8" s="112">
        <v>0</v>
      </c>
      <c r="C8" s="118"/>
      <c r="D8" s="114"/>
      <c r="E8" s="114"/>
      <c r="F8" s="114"/>
      <c r="G8" s="114"/>
      <c r="H8" s="114"/>
      <c r="I8" s="114"/>
      <c r="J8" s="112"/>
      <c r="K8" s="112">
        <v>144</v>
      </c>
      <c r="L8" s="114"/>
      <c r="M8" s="114"/>
      <c r="N8" s="114"/>
      <c r="O8" s="114"/>
      <c r="P8" s="114"/>
      <c r="Q8" s="115"/>
      <c r="R8" s="115"/>
      <c r="S8" s="115">
        <f t="shared" si="0"/>
        <v>0</v>
      </c>
      <c r="T8" s="114">
        <f t="shared" si="1"/>
        <v>144</v>
      </c>
      <c r="U8" s="114">
        <f t="shared" si="2"/>
        <v>144</v>
      </c>
      <c r="W8" s="121" t="s">
        <v>18</v>
      </c>
      <c r="X8" s="117">
        <f t="shared" si="3"/>
        <v>144</v>
      </c>
    </row>
    <row r="9" spans="1:24" ht="15" thickBot="1">
      <c r="A9" s="111" t="s">
        <v>19</v>
      </c>
      <c r="B9" s="114"/>
      <c r="C9" s="118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5"/>
      <c r="R9" s="115"/>
      <c r="S9" s="115">
        <f t="shared" si="0"/>
        <v>0</v>
      </c>
      <c r="T9" s="114">
        <f t="shared" si="1"/>
        <v>0</v>
      </c>
      <c r="U9" s="114">
        <f t="shared" si="2"/>
        <v>0</v>
      </c>
      <c r="W9" s="121" t="s">
        <v>19</v>
      </c>
      <c r="X9" s="117">
        <f t="shared" si="3"/>
        <v>0</v>
      </c>
    </row>
    <row r="10" spans="1:24" ht="15" thickBot="1">
      <c r="A10" s="111" t="s">
        <v>20</v>
      </c>
      <c r="B10" s="124"/>
      <c r="C10" s="125"/>
      <c r="D10" s="124">
        <v>0</v>
      </c>
      <c r="E10" s="124">
        <v>0</v>
      </c>
      <c r="F10" s="124">
        <v>0</v>
      </c>
      <c r="G10" s="124">
        <v>0</v>
      </c>
      <c r="H10" s="124">
        <v>0</v>
      </c>
      <c r="I10" s="124">
        <v>0</v>
      </c>
      <c r="K10" s="124">
        <v>0</v>
      </c>
      <c r="L10" s="124">
        <v>0</v>
      </c>
      <c r="M10" s="124">
        <v>0</v>
      </c>
      <c r="N10" s="124">
        <v>0</v>
      </c>
      <c r="O10" s="124">
        <v>0</v>
      </c>
      <c r="P10" s="124">
        <v>0</v>
      </c>
      <c r="Q10" s="124">
        <v>0</v>
      </c>
      <c r="R10" s="124">
        <v>0</v>
      </c>
      <c r="S10" s="115">
        <f t="shared" si="0"/>
        <v>0</v>
      </c>
      <c r="T10" s="114">
        <f t="shared" si="1"/>
        <v>0</v>
      </c>
      <c r="U10" s="114">
        <f t="shared" si="2"/>
        <v>0</v>
      </c>
      <c r="W10" s="126" t="s">
        <v>20</v>
      </c>
      <c r="X10" s="117">
        <f t="shared" si="3"/>
        <v>0</v>
      </c>
    </row>
    <row r="11" spans="1:24" ht="15" thickBot="1">
      <c r="A11" s="127">
        <v>582</v>
      </c>
      <c r="B11" s="112">
        <v>8</v>
      </c>
      <c r="C11" s="113"/>
      <c r="D11" s="112">
        <v>36</v>
      </c>
      <c r="E11" s="112">
        <v>40</v>
      </c>
      <c r="F11" s="112">
        <v>45</v>
      </c>
      <c r="G11" s="112">
        <v>16</v>
      </c>
      <c r="H11" s="114"/>
      <c r="I11" s="112">
        <v>16</v>
      </c>
      <c r="J11" s="114"/>
      <c r="K11" s="114"/>
      <c r="L11" s="112"/>
      <c r="M11" s="112">
        <v>0</v>
      </c>
      <c r="N11" s="112">
        <v>0</v>
      </c>
      <c r="O11" s="114"/>
      <c r="P11" s="114"/>
      <c r="Q11" s="119">
        <v>0</v>
      </c>
      <c r="R11" s="115"/>
      <c r="S11" s="115">
        <f t="shared" si="0"/>
        <v>145</v>
      </c>
      <c r="T11" s="114">
        <f t="shared" si="1"/>
        <v>16</v>
      </c>
      <c r="U11" s="114">
        <f t="shared" si="2"/>
        <v>161</v>
      </c>
      <c r="W11" s="128">
        <v>582</v>
      </c>
      <c r="X11" s="117">
        <f t="shared" si="3"/>
        <v>161</v>
      </c>
    </row>
    <row r="12" spans="1:24" ht="14.25" customHeight="1" thickBot="1">
      <c r="A12" s="127">
        <v>739</v>
      </c>
      <c r="B12" s="112">
        <v>10</v>
      </c>
      <c r="C12" s="113"/>
      <c r="D12" s="112">
        <v>1</v>
      </c>
      <c r="E12" s="112">
        <v>22</v>
      </c>
      <c r="F12" s="112">
        <v>8</v>
      </c>
      <c r="G12" s="112">
        <f>14</f>
        <v>14</v>
      </c>
      <c r="H12" s="114"/>
      <c r="I12" s="112"/>
      <c r="J12" s="114"/>
      <c r="K12" s="114"/>
      <c r="L12" s="112"/>
      <c r="M12" s="114"/>
      <c r="N12" s="112">
        <v>0</v>
      </c>
      <c r="O12" s="114"/>
      <c r="P12" s="114"/>
      <c r="Q12" s="119"/>
      <c r="R12" s="119">
        <v>0</v>
      </c>
      <c r="S12" s="115">
        <f t="shared" si="0"/>
        <v>55</v>
      </c>
      <c r="T12" s="114">
        <f t="shared" si="1"/>
        <v>0</v>
      </c>
      <c r="U12" s="114">
        <f t="shared" si="2"/>
        <v>55</v>
      </c>
      <c r="W12" s="128">
        <v>739</v>
      </c>
      <c r="X12" s="117">
        <f t="shared" si="3"/>
        <v>55</v>
      </c>
    </row>
    <row r="13" spans="1:24" ht="15" thickBot="1">
      <c r="A13" s="127">
        <v>137</v>
      </c>
      <c r="B13" s="112">
        <v>23</v>
      </c>
      <c r="C13" s="113"/>
      <c r="D13" s="112"/>
      <c r="E13" s="112">
        <v>17</v>
      </c>
      <c r="F13" s="112">
        <v>14</v>
      </c>
      <c r="G13" s="112">
        <v>14</v>
      </c>
      <c r="H13" s="114"/>
      <c r="I13" s="112"/>
      <c r="J13" s="114"/>
      <c r="K13" s="114"/>
      <c r="L13" s="112"/>
      <c r="M13" s="114"/>
      <c r="N13" s="112">
        <v>0</v>
      </c>
      <c r="O13" s="114"/>
      <c r="P13" s="114"/>
      <c r="Q13" s="115"/>
      <c r="R13" s="115"/>
      <c r="S13" s="115">
        <f t="shared" si="0"/>
        <v>68</v>
      </c>
      <c r="T13" s="114">
        <f t="shared" si="1"/>
        <v>0</v>
      </c>
      <c r="U13" s="114">
        <f t="shared" si="2"/>
        <v>68</v>
      </c>
      <c r="W13" s="128">
        <v>137</v>
      </c>
      <c r="X13" s="117">
        <f t="shared" si="3"/>
        <v>68</v>
      </c>
    </row>
    <row r="14" spans="1:24" ht="15" thickBot="1">
      <c r="A14" s="127">
        <v>762</v>
      </c>
      <c r="B14" s="129">
        <v>29</v>
      </c>
      <c r="C14" s="130"/>
      <c r="D14" s="129">
        <v>51</v>
      </c>
      <c r="E14" s="129">
        <v>16</v>
      </c>
      <c r="F14" s="129">
        <v>16</v>
      </c>
      <c r="G14" s="129">
        <v>16</v>
      </c>
      <c r="H14" s="131"/>
      <c r="I14" s="131"/>
      <c r="J14" s="129"/>
      <c r="K14" s="129">
        <v>144</v>
      </c>
      <c r="L14" s="131"/>
      <c r="M14" s="131"/>
      <c r="N14" s="131"/>
      <c r="O14" s="131"/>
      <c r="P14" s="129">
        <v>0</v>
      </c>
      <c r="Q14" s="132"/>
      <c r="R14" s="132"/>
      <c r="S14" s="115">
        <f t="shared" si="0"/>
        <v>128</v>
      </c>
      <c r="T14" s="114">
        <f t="shared" si="1"/>
        <v>144</v>
      </c>
      <c r="U14" s="114">
        <f t="shared" si="2"/>
        <v>272</v>
      </c>
      <c r="W14" s="128">
        <v>762</v>
      </c>
      <c r="X14" s="117">
        <f t="shared" si="3"/>
        <v>272</v>
      </c>
    </row>
    <row r="15" spans="1:24" ht="15" thickBot="1">
      <c r="A15" s="127">
        <v>147</v>
      </c>
      <c r="B15" s="131"/>
      <c r="C15" s="130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2"/>
      <c r="R15" s="132"/>
      <c r="S15" s="115">
        <f t="shared" si="0"/>
        <v>0</v>
      </c>
      <c r="T15" s="114">
        <f t="shared" si="1"/>
        <v>0</v>
      </c>
      <c r="U15" s="114">
        <f t="shared" si="2"/>
        <v>0</v>
      </c>
      <c r="W15" s="128">
        <v>147</v>
      </c>
      <c r="X15" s="117">
        <f t="shared" si="3"/>
        <v>0</v>
      </c>
    </row>
    <row r="16" spans="1:24" ht="15" thickBot="1">
      <c r="A16" s="18">
        <v>148</v>
      </c>
      <c r="B16" s="124"/>
      <c r="D16" s="124"/>
      <c r="E16" s="124"/>
      <c r="F16" s="124"/>
      <c r="G16" s="124"/>
      <c r="L16" s="124">
        <f>144-48</f>
        <v>96</v>
      </c>
      <c r="P16" s="124"/>
      <c r="S16" s="115">
        <f t="shared" si="0"/>
        <v>0</v>
      </c>
      <c r="T16" s="114">
        <f t="shared" si="1"/>
        <v>96</v>
      </c>
      <c r="U16" s="114">
        <f t="shared" si="2"/>
        <v>96</v>
      </c>
      <c r="W16" s="18">
        <v>148</v>
      </c>
      <c r="X16" s="117">
        <f t="shared" si="3"/>
        <v>96</v>
      </c>
    </row>
    <row r="17" spans="1:24" ht="15" thickBot="1">
      <c r="A17" s="133" t="s">
        <v>22</v>
      </c>
      <c r="B17" s="9"/>
      <c r="C17" s="122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23"/>
      <c r="R17" s="123"/>
      <c r="S17" s="115">
        <f t="shared" si="0"/>
        <v>0</v>
      </c>
      <c r="T17" s="114">
        <f t="shared" si="1"/>
        <v>0</v>
      </c>
      <c r="U17" s="114">
        <f t="shared" si="2"/>
        <v>0</v>
      </c>
      <c r="W17" s="133" t="s">
        <v>22</v>
      </c>
      <c r="X17" s="117">
        <f t="shared" si="3"/>
        <v>0</v>
      </c>
    </row>
    <row r="18" spans="1:24" ht="15" thickBot="1">
      <c r="A18" s="134">
        <v>984</v>
      </c>
      <c r="B18" s="135">
        <v>31</v>
      </c>
      <c r="C18" s="136"/>
      <c r="D18" s="135">
        <v>3</v>
      </c>
      <c r="E18" s="135">
        <v>20</v>
      </c>
      <c r="F18" s="135">
        <v>23</v>
      </c>
      <c r="G18" s="135">
        <v>16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135"/>
      <c r="S18" s="115">
        <f t="shared" si="0"/>
        <v>93</v>
      </c>
      <c r="T18" s="114">
        <f t="shared" si="1"/>
        <v>0</v>
      </c>
      <c r="U18" s="114">
        <f t="shared" si="2"/>
        <v>93</v>
      </c>
      <c r="W18" s="124">
        <v>984</v>
      </c>
      <c r="X18" s="117">
        <f t="shared" si="3"/>
        <v>93</v>
      </c>
    </row>
    <row r="19" spans="1:24" ht="15" thickBot="1">
      <c r="A19" s="133">
        <v>557</v>
      </c>
      <c r="B19" s="124"/>
      <c r="C19" s="125"/>
      <c r="D19" s="124">
        <v>0</v>
      </c>
      <c r="E19" s="124">
        <v>0</v>
      </c>
      <c r="F19" s="124">
        <v>0</v>
      </c>
      <c r="H19" s="124">
        <v>0</v>
      </c>
      <c r="I19" s="124">
        <v>0</v>
      </c>
      <c r="K19" s="124">
        <v>0</v>
      </c>
      <c r="L19" s="124">
        <v>0</v>
      </c>
      <c r="M19" s="124">
        <v>0</v>
      </c>
      <c r="N19" s="124">
        <v>0</v>
      </c>
      <c r="O19" s="124">
        <v>0</v>
      </c>
      <c r="P19" s="124">
        <v>0</v>
      </c>
      <c r="Q19" s="124">
        <v>0</v>
      </c>
      <c r="S19" s="115">
        <f t="shared" si="0"/>
        <v>0</v>
      </c>
      <c r="T19" s="114">
        <f t="shared" si="1"/>
        <v>0</v>
      </c>
      <c r="U19" s="114">
        <f t="shared" si="2"/>
        <v>0</v>
      </c>
      <c r="W19" s="128">
        <v>557</v>
      </c>
      <c r="X19" s="117">
        <f t="shared" si="3"/>
        <v>0</v>
      </c>
    </row>
    <row r="20" spans="1:24" ht="15" thickBot="1">
      <c r="A20" s="137"/>
      <c r="B20" s="138"/>
      <c r="C20" s="122"/>
      <c r="D20" s="138"/>
      <c r="E20" s="138"/>
      <c r="F20" s="138"/>
      <c r="G20" s="138"/>
      <c r="H20" s="138"/>
      <c r="I20" s="138"/>
      <c r="J20" s="9"/>
      <c r="K20" s="9"/>
      <c r="L20" s="9"/>
      <c r="M20" s="138"/>
      <c r="N20" s="138"/>
      <c r="O20" s="138"/>
      <c r="P20" s="138"/>
      <c r="Q20" s="138"/>
      <c r="R20" s="138"/>
      <c r="S20" s="138"/>
      <c r="T20" s="138"/>
      <c r="U20" s="138"/>
      <c r="W20" s="139" t="s">
        <v>23</v>
      </c>
      <c r="X20" s="117">
        <f>SUM(U21:U31)</f>
        <v>277</v>
      </c>
    </row>
    <row r="21" spans="1:24" ht="15" thickBot="1">
      <c r="A21" s="140" t="s">
        <v>94</v>
      </c>
      <c r="B21" s="141"/>
      <c r="C21" s="118"/>
      <c r="D21" s="142"/>
      <c r="E21" s="142">
        <v>15</v>
      </c>
      <c r="F21" s="142">
        <v>20</v>
      </c>
      <c r="G21" s="141"/>
      <c r="H21" s="141"/>
      <c r="I21" s="141"/>
      <c r="J21" s="114"/>
      <c r="K21" s="9"/>
      <c r="L21" s="9"/>
      <c r="M21" s="143"/>
      <c r="N21" s="143"/>
      <c r="O21" s="143"/>
      <c r="P21" s="141"/>
      <c r="Q21" s="144"/>
      <c r="R21" s="144"/>
      <c r="S21" s="115">
        <f t="shared" si="4" ref="S21:S36">SUM(B21:H21)</f>
        <v>35</v>
      </c>
      <c r="T21" s="114">
        <f t="shared" si="5" ref="T21:T36">SUM(I21:R21)</f>
        <v>0</v>
      </c>
      <c r="U21" s="114">
        <f t="shared" si="6" ref="U21:U36">T21+S21</f>
        <v>35</v>
      </c>
      <c r="W21" s="139" t="s">
        <v>24</v>
      </c>
      <c r="X21" s="117">
        <f>SUM(U32:U36)</f>
        <v>157</v>
      </c>
    </row>
    <row r="22" spans="1:24" ht="15" thickBot="1">
      <c r="A22" s="145" t="s">
        <v>51</v>
      </c>
      <c r="B22" s="141"/>
      <c r="C22" s="118"/>
      <c r="D22" s="141"/>
      <c r="E22" s="141"/>
      <c r="F22" s="141"/>
      <c r="G22" s="141"/>
      <c r="H22" s="141"/>
      <c r="I22" s="141"/>
      <c r="J22" s="114"/>
      <c r="K22" s="114"/>
      <c r="L22" s="114"/>
      <c r="M22" s="141"/>
      <c r="N22" s="141"/>
      <c r="O22" s="141"/>
      <c r="P22" s="141"/>
      <c r="Q22" s="144"/>
      <c r="R22" s="144"/>
      <c r="S22" s="115">
        <f t="shared" si="4"/>
        <v>0</v>
      </c>
      <c r="T22" s="114">
        <f t="shared" si="5"/>
        <v>0</v>
      </c>
      <c r="U22" s="114">
        <f t="shared" si="6"/>
        <v>0</v>
      </c>
      <c r="W22" s="139" t="s">
        <v>95</v>
      </c>
      <c r="X22" s="117">
        <f>SUM(U38:AF46)</f>
        <v>332</v>
      </c>
    </row>
    <row r="23" spans="1:24" ht="12.75" customHeight="1" thickBot="1">
      <c r="A23" s="145" t="s">
        <v>96</v>
      </c>
      <c r="B23" s="141"/>
      <c r="C23" s="118"/>
      <c r="D23" s="141"/>
      <c r="E23" s="141"/>
      <c r="F23" s="141"/>
      <c r="G23" s="141"/>
      <c r="H23" s="141"/>
      <c r="I23" s="141"/>
      <c r="J23" s="114"/>
      <c r="K23" s="114"/>
      <c r="L23" s="114"/>
      <c r="M23" s="141"/>
      <c r="N23" s="141"/>
      <c r="O23" s="141"/>
      <c r="P23" s="141"/>
      <c r="Q23" s="141"/>
      <c r="R23" s="141"/>
      <c r="S23" s="115">
        <f t="shared" si="4"/>
        <v>0</v>
      </c>
      <c r="T23" s="114">
        <f t="shared" si="5"/>
        <v>0</v>
      </c>
      <c r="U23" s="114">
        <f t="shared" si="6"/>
        <v>0</v>
      </c>
      <c r="W23" s="139" t="s">
        <v>26</v>
      </c>
      <c r="X23" s="117">
        <f t="shared" si="7" ref="X23:X25">U48</f>
        <v>0</v>
      </c>
    </row>
    <row r="24" spans="1:24" ht="12.75" customHeight="1" thickBot="1">
      <c r="A24" s="145" t="s">
        <v>54</v>
      </c>
      <c r="B24" s="141"/>
      <c r="C24" s="118"/>
      <c r="D24" s="141"/>
      <c r="E24" s="141"/>
      <c r="F24" s="141"/>
      <c r="G24" s="141"/>
      <c r="H24" s="141"/>
      <c r="I24" s="141"/>
      <c r="J24" s="114"/>
      <c r="K24" s="114"/>
      <c r="L24" s="114"/>
      <c r="M24" s="141"/>
      <c r="N24" s="141"/>
      <c r="O24" s="141"/>
      <c r="P24" s="141"/>
      <c r="Q24" s="141"/>
      <c r="R24" s="141"/>
      <c r="S24" s="115">
        <f t="shared" si="4"/>
        <v>0</v>
      </c>
      <c r="T24" s="114">
        <f t="shared" si="5"/>
        <v>0</v>
      </c>
      <c r="U24" s="114">
        <f t="shared" si="6"/>
        <v>0</v>
      </c>
      <c r="W24" s="139" t="s">
        <v>27</v>
      </c>
      <c r="X24" s="117">
        <f t="shared" si="7"/>
        <v>0</v>
      </c>
    </row>
    <row r="25" spans="1:24" ht="12.75" customHeight="1" thickBot="1">
      <c r="A25" s="145" t="s">
        <v>55</v>
      </c>
      <c r="B25" s="141"/>
      <c r="C25" s="118"/>
      <c r="D25" s="141"/>
      <c r="E25" s="141"/>
      <c r="F25" s="141"/>
      <c r="G25" s="141"/>
      <c r="H25" s="141"/>
      <c r="I25" s="141"/>
      <c r="J25" s="114"/>
      <c r="K25" s="114"/>
      <c r="L25" s="114"/>
      <c r="M25" s="141"/>
      <c r="N25" s="143"/>
      <c r="O25" s="141"/>
      <c r="P25" s="141"/>
      <c r="Q25" s="141"/>
      <c r="R25" s="141"/>
      <c r="S25" s="115">
        <f t="shared" si="4"/>
        <v>0</v>
      </c>
      <c r="T25" s="114">
        <f t="shared" si="5"/>
        <v>0</v>
      </c>
      <c r="U25" s="114">
        <f t="shared" si="6"/>
        <v>0</v>
      </c>
      <c r="W25" s="146" t="s">
        <v>28</v>
      </c>
      <c r="X25" s="117">
        <f t="shared" si="7"/>
        <v>320</v>
      </c>
    </row>
    <row r="26" spans="1:21" ht="12.75" customHeight="1">
      <c r="A26" s="147" t="s">
        <v>50</v>
      </c>
      <c r="B26" s="141"/>
      <c r="C26" s="118"/>
      <c r="D26" s="141"/>
      <c r="E26" s="141"/>
      <c r="F26" s="141"/>
      <c r="G26" s="141"/>
      <c r="H26" s="141"/>
      <c r="I26" s="141"/>
      <c r="J26" s="114"/>
      <c r="K26" s="114"/>
      <c r="L26" s="114"/>
      <c r="M26" s="141"/>
      <c r="N26" s="141"/>
      <c r="O26" s="141"/>
      <c r="P26" s="141"/>
      <c r="Q26" s="141"/>
      <c r="R26" s="141"/>
      <c r="S26" s="115">
        <f t="shared" si="4"/>
        <v>0</v>
      </c>
      <c r="T26" s="114">
        <f t="shared" si="5"/>
        <v>0</v>
      </c>
      <c r="U26" s="114">
        <f t="shared" si="6"/>
        <v>0</v>
      </c>
    </row>
    <row r="27" spans="1:21" ht="12.75" customHeight="1">
      <c r="A27" s="147" t="s">
        <v>56</v>
      </c>
      <c r="B27" s="141"/>
      <c r="C27" s="118"/>
      <c r="D27" s="141"/>
      <c r="E27" s="141"/>
      <c r="F27" s="141"/>
      <c r="G27" s="141"/>
      <c r="H27" s="141"/>
      <c r="I27" s="141"/>
      <c r="J27" s="114"/>
      <c r="K27" s="114"/>
      <c r="L27" s="114"/>
      <c r="M27" s="141"/>
      <c r="N27" s="141"/>
      <c r="O27" s="141"/>
      <c r="P27" s="141"/>
      <c r="Q27" s="141"/>
      <c r="R27" s="141"/>
      <c r="S27" s="115">
        <f t="shared" si="4"/>
        <v>0</v>
      </c>
      <c r="T27" s="114">
        <f t="shared" si="5"/>
        <v>0</v>
      </c>
      <c r="U27" s="114">
        <f t="shared" si="6"/>
        <v>0</v>
      </c>
    </row>
    <row r="28" spans="1:21" ht="12.75" customHeight="1">
      <c r="A28" s="142" t="s">
        <v>97</v>
      </c>
      <c r="B28" s="141"/>
      <c r="C28" s="118"/>
      <c r="D28" s="141"/>
      <c r="E28" s="142">
        <v>24</v>
      </c>
      <c r="F28" s="142">
        <v>24</v>
      </c>
      <c r="G28" s="142">
        <f>24-5</f>
        <v>19</v>
      </c>
      <c r="H28" s="141"/>
      <c r="I28" s="141"/>
      <c r="J28" s="112"/>
      <c r="K28" s="112">
        <v>96</v>
      </c>
      <c r="L28" s="112">
        <v>72</v>
      </c>
      <c r="M28" s="141"/>
      <c r="N28" s="141"/>
      <c r="O28" s="141"/>
      <c r="P28" s="141"/>
      <c r="Q28" s="141"/>
      <c r="R28" s="141"/>
      <c r="S28" s="115">
        <f t="shared" si="4"/>
        <v>67</v>
      </c>
      <c r="T28" s="114">
        <f t="shared" si="5"/>
        <v>168</v>
      </c>
      <c r="U28" s="114">
        <f t="shared" si="6"/>
        <v>235</v>
      </c>
    </row>
    <row r="29" spans="1:21" ht="12.75" customHeight="1">
      <c r="A29" s="148" t="s">
        <v>50</v>
      </c>
      <c r="B29" s="141"/>
      <c r="C29" s="118"/>
      <c r="D29" s="141"/>
      <c r="E29" s="141"/>
      <c r="F29" s="141"/>
      <c r="G29" s="141"/>
      <c r="H29" s="141"/>
      <c r="I29" s="141"/>
      <c r="J29" s="114"/>
      <c r="K29" s="114"/>
      <c r="L29" s="114"/>
      <c r="M29" s="141"/>
      <c r="N29" s="141"/>
      <c r="O29" s="141"/>
      <c r="P29" s="141"/>
      <c r="Q29" s="142"/>
      <c r="R29" s="141"/>
      <c r="S29" s="115">
        <f t="shared" si="4"/>
        <v>0</v>
      </c>
      <c r="T29" s="114">
        <f t="shared" si="5"/>
        <v>0</v>
      </c>
      <c r="U29" s="114">
        <f t="shared" si="6"/>
        <v>0</v>
      </c>
    </row>
    <row r="30" spans="1:21" ht="12.75" customHeight="1">
      <c r="A30" s="149" t="s">
        <v>98</v>
      </c>
      <c r="B30" s="141"/>
      <c r="C30" s="118"/>
      <c r="D30" s="142">
        <v>2</v>
      </c>
      <c r="E30" s="142">
        <v>5</v>
      </c>
      <c r="F30" s="142"/>
      <c r="G30" s="142"/>
      <c r="H30" s="141"/>
      <c r="I30" s="141"/>
      <c r="J30" s="114"/>
      <c r="K30" s="114"/>
      <c r="L30" s="114"/>
      <c r="M30" s="141"/>
      <c r="N30" s="142"/>
      <c r="O30" s="142"/>
      <c r="P30" s="141"/>
      <c r="Q30" s="141"/>
      <c r="R30" s="141"/>
      <c r="S30" s="115">
        <f t="shared" si="4"/>
        <v>7</v>
      </c>
      <c r="T30" s="114">
        <f t="shared" si="5"/>
        <v>0</v>
      </c>
      <c r="U30" s="114">
        <f t="shared" si="6"/>
        <v>7</v>
      </c>
    </row>
    <row r="31" spans="1:21" ht="13.5" customHeight="1">
      <c r="A31" s="150" t="s">
        <v>99</v>
      </c>
      <c r="B31" s="141"/>
      <c r="C31" s="118"/>
      <c r="D31" s="141"/>
      <c r="E31" s="141"/>
      <c r="F31" s="141"/>
      <c r="G31" s="141"/>
      <c r="H31" s="141"/>
      <c r="I31" s="141"/>
      <c r="J31" s="114"/>
      <c r="K31" s="114"/>
      <c r="L31" s="114"/>
      <c r="M31" s="141"/>
      <c r="N31" s="141"/>
      <c r="O31" s="141"/>
      <c r="P31" s="141"/>
      <c r="Q31" s="141"/>
      <c r="R31" s="144"/>
      <c r="S31" s="115">
        <f t="shared" si="4"/>
        <v>0</v>
      </c>
      <c r="T31" s="114">
        <f t="shared" si="5"/>
        <v>0</v>
      </c>
      <c r="U31" s="114">
        <f t="shared" si="6"/>
        <v>0</v>
      </c>
    </row>
    <row r="32" spans="1:21" ht="13.5" customHeight="1">
      <c r="A32" s="151" t="s">
        <v>100</v>
      </c>
      <c r="B32" s="141"/>
      <c r="C32" s="118"/>
      <c r="D32" s="141"/>
      <c r="E32" s="141"/>
      <c r="F32" s="141"/>
      <c r="G32" s="141"/>
      <c r="H32" s="141"/>
      <c r="I32" s="141"/>
      <c r="J32" s="114"/>
      <c r="K32" s="114"/>
      <c r="L32" s="114"/>
      <c r="M32" s="141"/>
      <c r="N32" s="141"/>
      <c r="O32" s="141"/>
      <c r="P32" s="141"/>
      <c r="Q32" s="141"/>
      <c r="R32" s="144"/>
      <c r="S32" s="115">
        <f t="shared" si="4"/>
        <v>0</v>
      </c>
      <c r="T32" s="114">
        <f t="shared" si="5"/>
        <v>0</v>
      </c>
      <c r="U32" s="114">
        <f t="shared" si="6"/>
        <v>0</v>
      </c>
    </row>
    <row r="33" spans="1:21" ht="13.5" customHeight="1">
      <c r="A33" s="149" t="s">
        <v>101</v>
      </c>
      <c r="B33" s="152">
        <v>29</v>
      </c>
      <c r="C33" s="130"/>
      <c r="D33" s="142"/>
      <c r="E33" s="152">
        <v>14</v>
      </c>
      <c r="F33" s="152">
        <v>22</v>
      </c>
      <c r="G33" s="152">
        <v>24</v>
      </c>
      <c r="H33" s="153"/>
      <c r="I33" s="141"/>
      <c r="J33" s="114"/>
      <c r="K33" s="114"/>
      <c r="L33" s="114"/>
      <c r="M33" s="141"/>
      <c r="N33" s="141"/>
      <c r="O33" s="141"/>
      <c r="P33" s="142"/>
      <c r="Q33" s="141"/>
      <c r="R33" s="154"/>
      <c r="S33" s="115">
        <f t="shared" si="4"/>
        <v>89</v>
      </c>
      <c r="T33" s="114">
        <f t="shared" si="5"/>
        <v>0</v>
      </c>
      <c r="U33" s="114">
        <f t="shared" si="6"/>
        <v>89</v>
      </c>
    </row>
    <row r="34" spans="1:21" ht="13.5" customHeight="1">
      <c r="A34" s="142" t="s">
        <v>102</v>
      </c>
      <c r="B34" s="152"/>
      <c r="C34" s="130"/>
      <c r="D34" s="142">
        <v>20</v>
      </c>
      <c r="E34" s="152"/>
      <c r="F34" s="153"/>
      <c r="G34" s="153"/>
      <c r="H34" s="153"/>
      <c r="I34" s="141"/>
      <c r="J34" s="112"/>
      <c r="K34" s="112">
        <v>48</v>
      </c>
      <c r="L34" s="114"/>
      <c r="M34" s="141"/>
      <c r="N34" s="141"/>
      <c r="O34" s="141"/>
      <c r="P34" s="141"/>
      <c r="Q34" s="141"/>
      <c r="R34" s="155">
        <v>0</v>
      </c>
      <c r="S34" s="115">
        <f t="shared" si="4"/>
        <v>20</v>
      </c>
      <c r="T34" s="114">
        <f t="shared" si="5"/>
        <v>48</v>
      </c>
      <c r="U34" s="114">
        <f t="shared" si="6"/>
        <v>68</v>
      </c>
    </row>
    <row r="35" spans="1:23" ht="13.5" customHeight="1">
      <c r="A35" s="147" t="s">
        <v>63</v>
      </c>
      <c r="B35" s="153"/>
      <c r="C35" s="130"/>
      <c r="D35" s="141"/>
      <c r="E35" s="152"/>
      <c r="F35" s="153"/>
      <c r="G35" s="153"/>
      <c r="H35" s="153"/>
      <c r="I35" s="141"/>
      <c r="J35" s="114"/>
      <c r="K35" s="114"/>
      <c r="L35" s="114"/>
      <c r="M35" s="141"/>
      <c r="N35" s="141"/>
      <c r="O35" s="141"/>
      <c r="P35" s="141"/>
      <c r="Q35" s="141"/>
      <c r="R35" s="154"/>
      <c r="S35" s="115">
        <f t="shared" si="4"/>
        <v>0</v>
      </c>
      <c r="T35" s="114">
        <f t="shared" si="5"/>
        <v>0</v>
      </c>
      <c r="U35" s="114">
        <f t="shared" si="6"/>
        <v>0</v>
      </c>
      <c r="W35" s="124"/>
    </row>
    <row r="36" spans="1:23" ht="13.5" customHeight="1">
      <c r="A36" s="147" t="s">
        <v>64</v>
      </c>
      <c r="B36" s="153"/>
      <c r="C36" s="130"/>
      <c r="D36" s="153"/>
      <c r="E36" s="153"/>
      <c r="F36" s="153"/>
      <c r="G36" s="153"/>
      <c r="H36" s="153"/>
      <c r="I36" s="141"/>
      <c r="J36" s="114"/>
      <c r="K36" s="114"/>
      <c r="L36" s="114"/>
      <c r="M36" s="141"/>
      <c r="N36" s="141"/>
      <c r="O36" s="141"/>
      <c r="P36" s="141"/>
      <c r="Q36" s="141"/>
      <c r="R36" s="144"/>
      <c r="S36" s="115">
        <f t="shared" si="4"/>
        <v>0</v>
      </c>
      <c r="T36" s="114">
        <f t="shared" si="5"/>
        <v>0</v>
      </c>
      <c r="U36" s="114">
        <f t="shared" si="6"/>
        <v>0</v>
      </c>
      <c r="W36" s="124"/>
    </row>
    <row r="37" spans="1:21" ht="13.5" customHeight="1">
      <c r="A37" s="137"/>
      <c r="B37" s="137"/>
      <c r="C37" s="156"/>
      <c r="D37" s="137"/>
      <c r="E37" s="137"/>
      <c r="F37" s="137"/>
      <c r="G37" s="137"/>
      <c r="H37" s="137"/>
      <c r="I37" s="137"/>
      <c r="J37" s="157"/>
      <c r="K37" s="157"/>
      <c r="L37" s="157"/>
      <c r="M37" s="137"/>
      <c r="N37" s="137"/>
      <c r="O37" s="137"/>
      <c r="P37" s="137"/>
      <c r="Q37" s="158"/>
      <c r="R37" s="158"/>
      <c r="S37" s="137"/>
      <c r="T37" s="137"/>
      <c r="U37" s="137"/>
    </row>
    <row r="38" spans="1:21" ht="13.5" customHeight="1">
      <c r="A38" s="159" t="s">
        <v>103</v>
      </c>
      <c r="B38" s="160"/>
      <c r="C38" s="161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2"/>
      <c r="R38" s="162"/>
      <c r="S38" s="115">
        <f t="shared" si="8" ref="S38:S46">SUM(B38:H38)</f>
        <v>0</v>
      </c>
      <c r="T38" s="114">
        <f t="shared" si="9" ref="T38:T46">SUM(I38:R38)</f>
        <v>0</v>
      </c>
      <c r="U38" s="114">
        <f t="shared" si="10" ref="U38:U46">T38+S38</f>
        <v>0</v>
      </c>
    </row>
    <row r="39" spans="1:21" ht="15.75" customHeight="1">
      <c r="A39" s="163" t="s">
        <v>66</v>
      </c>
      <c r="B39" s="114"/>
      <c r="C39" s="118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64"/>
      <c r="R39" s="164"/>
      <c r="S39" s="115">
        <f t="shared" si="8"/>
        <v>0</v>
      </c>
      <c r="T39" s="114">
        <f t="shared" si="9"/>
        <v>0</v>
      </c>
      <c r="U39" s="114">
        <f t="shared" si="10"/>
        <v>0</v>
      </c>
    </row>
    <row r="40" spans="1:21" ht="15.75" customHeight="1">
      <c r="A40" s="163" t="s">
        <v>67</v>
      </c>
      <c r="B40" s="114"/>
      <c r="C40" s="118"/>
      <c r="D40" s="114"/>
      <c r="E40" s="160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65"/>
      <c r="R40" s="165"/>
      <c r="S40" s="115">
        <f t="shared" si="8"/>
        <v>0</v>
      </c>
      <c r="T40" s="114">
        <f t="shared" si="9"/>
        <v>0</v>
      </c>
      <c r="U40" s="114">
        <f t="shared" si="10"/>
        <v>0</v>
      </c>
    </row>
    <row r="41" spans="1:21" ht="15.75" customHeight="1">
      <c r="A41" s="163" t="s">
        <v>68</v>
      </c>
      <c r="B41" s="114"/>
      <c r="C41" s="118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64"/>
      <c r="R41" s="164"/>
      <c r="S41" s="115">
        <f t="shared" si="8"/>
        <v>0</v>
      </c>
      <c r="T41" s="114">
        <f t="shared" si="9"/>
        <v>0</v>
      </c>
      <c r="U41" s="114">
        <f t="shared" si="10"/>
        <v>0</v>
      </c>
    </row>
    <row r="42" spans="1:21" ht="15.75" customHeight="1">
      <c r="A42" s="166" t="s">
        <v>104</v>
      </c>
      <c r="B42" s="112"/>
      <c r="C42" s="118"/>
      <c r="D42" s="114"/>
      <c r="E42" s="114"/>
      <c r="F42" s="112">
        <v>0</v>
      </c>
      <c r="G42" s="114"/>
      <c r="H42" s="114"/>
      <c r="I42" s="112">
        <v>16</v>
      </c>
      <c r="J42" s="114"/>
      <c r="K42" s="114"/>
      <c r="L42" s="114"/>
      <c r="M42" s="112">
        <v>0</v>
      </c>
      <c r="N42" s="114"/>
      <c r="O42" s="112"/>
      <c r="P42" s="114"/>
      <c r="Q42" s="165"/>
      <c r="R42" s="165"/>
      <c r="S42" s="115">
        <f t="shared" si="8"/>
        <v>0</v>
      </c>
      <c r="T42" s="114">
        <f t="shared" si="9"/>
        <v>16</v>
      </c>
      <c r="U42" s="114">
        <f t="shared" si="10"/>
        <v>16</v>
      </c>
    </row>
    <row r="43" spans="1:21" ht="15.75" customHeight="1">
      <c r="A43" s="163" t="s">
        <v>66</v>
      </c>
      <c r="B43" s="114"/>
      <c r="C43" s="118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64"/>
      <c r="R43" s="164"/>
      <c r="S43" s="115">
        <f t="shared" si="8"/>
        <v>0</v>
      </c>
      <c r="T43" s="114">
        <f t="shared" si="9"/>
        <v>0</v>
      </c>
      <c r="U43" s="114">
        <f t="shared" si="10"/>
        <v>0</v>
      </c>
    </row>
    <row r="44" spans="1:21" ht="15.75" customHeight="1">
      <c r="A44" s="166" t="s">
        <v>105</v>
      </c>
      <c r="B44" s="114"/>
      <c r="C44" s="118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2"/>
      <c r="P44" s="112"/>
      <c r="Q44" s="165"/>
      <c r="R44" s="165"/>
      <c r="S44" s="115">
        <f t="shared" si="8"/>
        <v>0</v>
      </c>
      <c r="T44" s="114">
        <f t="shared" si="9"/>
        <v>0</v>
      </c>
      <c r="U44" s="114">
        <f t="shared" si="10"/>
        <v>0</v>
      </c>
    </row>
    <row r="45" spans="1:21" ht="13.5" customHeight="1">
      <c r="A45" s="163" t="s">
        <v>71</v>
      </c>
      <c r="B45" s="112">
        <v>16</v>
      </c>
      <c r="C45" s="118"/>
      <c r="D45" s="112">
        <v>16</v>
      </c>
      <c r="E45" s="112">
        <v>28</v>
      </c>
      <c r="F45" s="112">
        <v>16</v>
      </c>
      <c r="G45" s="112"/>
      <c r="H45" s="114"/>
      <c r="I45" s="114"/>
      <c r="J45" s="114"/>
      <c r="K45" s="114"/>
      <c r="L45" s="114"/>
      <c r="M45" s="114"/>
      <c r="N45" s="114"/>
      <c r="O45" s="112"/>
      <c r="P45" s="112"/>
      <c r="Q45" s="165"/>
      <c r="R45" s="165"/>
      <c r="S45" s="115">
        <f t="shared" si="8"/>
        <v>76</v>
      </c>
      <c r="T45" s="114">
        <f t="shared" si="9"/>
        <v>0</v>
      </c>
      <c r="U45" s="114">
        <f t="shared" si="10"/>
        <v>76</v>
      </c>
    </row>
    <row r="46" spans="1:21" ht="13.5" customHeight="1">
      <c r="A46" s="163" t="s">
        <v>75</v>
      </c>
      <c r="B46" s="114"/>
      <c r="C46" s="118"/>
      <c r="D46" s="114"/>
      <c r="E46" s="114"/>
      <c r="F46" s="114"/>
      <c r="G46" s="114"/>
      <c r="H46" s="114"/>
      <c r="I46" s="114"/>
      <c r="J46" s="112">
        <v>240</v>
      </c>
      <c r="K46" s="114"/>
      <c r="L46" s="114"/>
      <c r="M46" s="114"/>
      <c r="N46" s="114"/>
      <c r="O46" s="114"/>
      <c r="P46" s="114"/>
      <c r="Q46" s="165"/>
      <c r="R46" s="165"/>
      <c r="S46" s="115">
        <f t="shared" si="8"/>
        <v>0</v>
      </c>
      <c r="T46" s="114">
        <f t="shared" si="9"/>
        <v>240</v>
      </c>
      <c r="U46" s="114">
        <f t="shared" si="10"/>
        <v>240</v>
      </c>
    </row>
    <row r="47" spans="1:21" ht="13.5" customHeight="1">
      <c r="A47" s="167"/>
      <c r="B47" s="167"/>
      <c r="C47" s="118"/>
      <c r="D47" s="167"/>
      <c r="E47" s="167"/>
      <c r="F47" s="167"/>
      <c r="G47" s="167"/>
      <c r="H47" s="167"/>
      <c r="I47" s="167"/>
      <c r="J47" s="114"/>
      <c r="K47" s="114"/>
      <c r="L47" s="114"/>
      <c r="M47" s="167"/>
      <c r="N47" s="167"/>
      <c r="O47" s="167"/>
      <c r="P47" s="167"/>
      <c r="Q47" s="168"/>
      <c r="R47" s="168"/>
      <c r="S47" s="167"/>
      <c r="T47" s="167"/>
      <c r="U47" s="167"/>
    </row>
    <row r="48" spans="1:21" ht="13.5" customHeight="1">
      <c r="A48" s="141" t="s">
        <v>26</v>
      </c>
      <c r="B48" s="114"/>
      <c r="C48" s="118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65"/>
      <c r="R48" s="165"/>
      <c r="S48" s="115">
        <f t="shared" si="11" ref="S48:S50">SUM(B48:H48)</f>
        <v>0</v>
      </c>
      <c r="T48" s="114">
        <f t="shared" si="12" ref="T48:T50">SUM(I48:R48)</f>
        <v>0</v>
      </c>
      <c r="U48" s="114">
        <f t="shared" si="13" ref="U48:U50">T48+S48</f>
        <v>0</v>
      </c>
    </row>
    <row r="49" spans="1:21" ht="13.5" customHeight="1">
      <c r="A49" s="169" t="s">
        <v>106</v>
      </c>
      <c r="S49" s="115">
        <f t="shared" si="11"/>
        <v>0</v>
      </c>
      <c r="T49" s="114">
        <f t="shared" si="12"/>
        <v>0</v>
      </c>
      <c r="U49" s="114">
        <f t="shared" si="13"/>
        <v>0</v>
      </c>
    </row>
    <row r="50" spans="1:21" ht="13.5" customHeight="1">
      <c r="A50" s="170" t="s">
        <v>28</v>
      </c>
      <c r="B50" s="171"/>
      <c r="C50" s="172"/>
      <c r="D50" s="171"/>
      <c r="E50" s="171"/>
      <c r="F50" s="171"/>
      <c r="G50" s="171"/>
      <c r="H50" s="171"/>
      <c r="I50" s="173"/>
      <c r="J50" s="173"/>
      <c r="K50" s="173">
        <v>160</v>
      </c>
      <c r="L50" s="174">
        <v>160</v>
      </c>
      <c r="M50" s="171"/>
      <c r="N50" s="173">
        <v>0</v>
      </c>
      <c r="O50" s="171"/>
      <c r="P50" s="173">
        <v>0</v>
      </c>
      <c r="Q50" s="175"/>
      <c r="R50" s="176"/>
      <c r="S50" s="115">
        <f t="shared" si="11"/>
        <v>0</v>
      </c>
      <c r="T50" s="114">
        <f t="shared" si="12"/>
        <v>320</v>
      </c>
      <c r="U50" s="114">
        <f t="shared" si="13"/>
        <v>320</v>
      </c>
    </row>
    <row r="51" spans="1:21" ht="13.5" customHeight="1">
      <c r="A51" s="101" t="s">
        <v>76</v>
      </c>
      <c r="B51" s="177"/>
      <c r="C51" s="130"/>
      <c r="D51" s="177"/>
      <c r="E51" s="177"/>
      <c r="F51" s="177"/>
      <c r="G51" s="177"/>
      <c r="H51" s="177"/>
      <c r="I51" s="177"/>
      <c r="J51" s="131"/>
      <c r="K51" s="131"/>
      <c r="L51" s="131"/>
      <c r="M51" s="177"/>
      <c r="N51" s="177"/>
      <c r="O51" s="177"/>
      <c r="P51" s="177"/>
      <c r="Q51" s="177"/>
      <c r="R51" s="177"/>
      <c r="S51" s="177"/>
      <c r="T51" s="177"/>
      <c r="U51" s="177"/>
    </row>
    <row r="52" spans="1:21" ht="13.5" customHeight="1">
      <c r="A52" s="133" t="s">
        <v>77</v>
      </c>
      <c r="B52" s="9"/>
      <c r="C52" s="122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23"/>
      <c r="R52" s="123"/>
      <c r="S52" s="115">
        <f>SUM(B52:H52)</f>
        <v>0</v>
      </c>
      <c r="T52" s="114">
        <f>SUM(I52:R52)</f>
        <v>0</v>
      </c>
      <c r="U52" s="114">
        <f t="shared" si="14" ref="U52:U56">T52+S52</f>
        <v>0</v>
      </c>
    </row>
    <row r="53" spans="1:21" ht="13.5" customHeight="1">
      <c r="A53" s="178" t="s">
        <v>78</v>
      </c>
      <c r="B53" s="131"/>
      <c r="C53" s="130"/>
      <c r="D53" s="131"/>
      <c r="E53" s="131"/>
      <c r="F53" s="131"/>
      <c r="G53" s="131"/>
      <c r="H53" s="131"/>
      <c r="I53" s="131"/>
      <c r="J53" s="131"/>
      <c r="K53" s="131"/>
      <c r="L53" s="129"/>
      <c r="M53" s="131"/>
      <c r="N53" s="131"/>
      <c r="O53" s="131"/>
      <c r="P53" s="131"/>
      <c r="Q53" s="132"/>
      <c r="R53" s="132"/>
      <c r="S53" s="115">
        <f t="shared" si="15" ref="S53:S56">SUM(B53:F53)</f>
        <v>0</v>
      </c>
      <c r="T53" s="114">
        <f t="shared" si="16" ref="T53:T56">SUM(G53:R53)</f>
        <v>0</v>
      </c>
      <c r="U53" s="114">
        <f t="shared" si="14"/>
        <v>0</v>
      </c>
    </row>
    <row r="54" spans="1:21" ht="13.5" customHeight="1">
      <c r="A54" s="178" t="s">
        <v>79</v>
      </c>
      <c r="B54" s="131"/>
      <c r="C54" s="130"/>
      <c r="D54" s="131"/>
      <c r="E54" s="131"/>
      <c r="F54" s="131"/>
      <c r="G54" s="131"/>
      <c r="H54" s="131"/>
      <c r="I54" s="129"/>
      <c r="J54" s="131"/>
      <c r="K54" s="131"/>
      <c r="L54" s="129"/>
      <c r="M54" s="131"/>
      <c r="N54" s="129"/>
      <c r="O54" s="131"/>
      <c r="P54" s="131"/>
      <c r="Q54" s="132"/>
      <c r="R54" s="132"/>
      <c r="S54" s="115">
        <f t="shared" si="15"/>
        <v>0</v>
      </c>
      <c r="T54" s="114">
        <f t="shared" si="16"/>
        <v>0</v>
      </c>
      <c r="U54" s="114">
        <f t="shared" si="14"/>
        <v>0</v>
      </c>
    </row>
    <row r="55" spans="1:21" ht="13.5" customHeight="1">
      <c r="A55" s="179" t="s">
        <v>80</v>
      </c>
      <c r="B55" s="180"/>
      <c r="C55" s="181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2"/>
      <c r="R55" s="182"/>
      <c r="S55" s="115">
        <f t="shared" si="15"/>
        <v>0</v>
      </c>
      <c r="T55" s="114">
        <f t="shared" si="16"/>
        <v>0</v>
      </c>
      <c r="U55" s="114">
        <f t="shared" si="14"/>
        <v>0</v>
      </c>
    </row>
    <row r="56" spans="1:21" ht="13.5" customHeight="1">
      <c r="A56" s="170" t="s">
        <v>28</v>
      </c>
      <c r="B56" s="131"/>
      <c r="C56" s="130"/>
      <c r="D56" s="129">
        <v>12</v>
      </c>
      <c r="E56" s="129">
        <v>13</v>
      </c>
      <c r="F56" s="129">
        <v>100</v>
      </c>
      <c r="G56" s="129">
        <f>60-5</f>
        <v>55</v>
      </c>
      <c r="H56" s="131"/>
      <c r="I56" s="129"/>
      <c r="J56" s="131"/>
      <c r="K56" s="131"/>
      <c r="L56" s="129"/>
      <c r="M56" s="131"/>
      <c r="N56" s="129"/>
      <c r="O56" s="131"/>
      <c r="P56" s="131"/>
      <c r="Q56" s="183"/>
      <c r="R56" s="183"/>
      <c r="S56" s="115">
        <f t="shared" si="15"/>
        <v>125</v>
      </c>
      <c r="T56" s="114">
        <f t="shared" si="16"/>
        <v>55</v>
      </c>
      <c r="U56" s="114">
        <f t="shared" si="14"/>
        <v>180</v>
      </c>
    </row>
    <row r="57" spans="1:21" ht="13.5" customHeight="1">
      <c r="A57" s="101" t="s">
        <v>81</v>
      </c>
      <c r="B57" s="177"/>
      <c r="C57" s="130"/>
      <c r="D57" s="177"/>
      <c r="E57" s="177"/>
      <c r="F57" s="177"/>
      <c r="G57" s="177"/>
      <c r="H57" s="177"/>
      <c r="I57" s="177"/>
      <c r="J57" s="131"/>
      <c r="K57" s="131"/>
      <c r="L57" s="131"/>
      <c r="M57" s="177"/>
      <c r="N57" s="177"/>
      <c r="O57" s="177"/>
      <c r="P57" s="177"/>
      <c r="Q57" s="177"/>
      <c r="R57" s="177"/>
      <c r="S57" s="177"/>
      <c r="T57" s="177"/>
      <c r="U57" s="177"/>
    </row>
    <row r="58" spans="1:21" ht="13.5" customHeight="1">
      <c r="A58" s="184" t="s">
        <v>82</v>
      </c>
      <c r="B58" s="131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2"/>
      <c r="R58" s="132"/>
      <c r="S58" s="115">
        <f t="shared" si="17" ref="S58:S59">SUM(B58:F58)</f>
        <v>0</v>
      </c>
      <c r="T58" s="114">
        <f t="shared" si="18" ref="T58:T59">SUM(G58:R58)</f>
        <v>0</v>
      </c>
      <c r="U58" s="114">
        <f t="shared" si="19" ref="U58:U59">T58+S58</f>
        <v>0</v>
      </c>
    </row>
    <row r="59" spans="1:21" ht="13.5" customHeight="1">
      <c r="A59" s="184" t="s">
        <v>83</v>
      </c>
      <c r="B59" s="131"/>
      <c r="C59" s="130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2"/>
      <c r="R59" s="132"/>
      <c r="S59" s="115">
        <f t="shared" si="17"/>
        <v>0</v>
      </c>
      <c r="T59" s="114">
        <f t="shared" si="18"/>
        <v>0</v>
      </c>
      <c r="U59" s="114">
        <f t="shared" si="19"/>
        <v>0</v>
      </c>
    </row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conditionalFormatting sqref="B48:R56 A50:A56">
    <cfRule type="cellIs" priority="1" dxfId="0" operator="lessThan">
      <formula>0</formula>
    </cfRule>
  </conditionalFormatting>
  <conditionalFormatting sqref="B56:R56">
    <cfRule type="cellIs" priority="2" dxfId="3" operator="lessThan">
      <formula>0</formula>
    </cfRule>
  </conditionalFormatting>
  <conditionalFormatting sqref="S2:U60">
    <cfRule type="cellIs" priority="3" dxfId="1" operator="lessThanOrEqual">
      <formula>97</formula>
    </cfRule>
  </conditionalFormatting>
  <conditionalFormatting sqref="S2:U60">
    <cfRule type="cellIs" priority="4" dxfId="2" operator="greaterThan">
      <formula>97</formula>
    </cfRule>
  </conditionalFormatting>
  <conditionalFormatting sqref="B50:C50 H50:J50">
    <cfRule type="cellIs" priority="5" dxfId="0" operator="lessThan">
      <formula>SUM($I$4:$I$6)</formula>
    </cfRule>
  </conditionalFormatting>
  <pageMargins left="0.7" right="0.7" top="0.75" bottom="0.75" header="0" footer="0"/>
  <pageSetup orientation="landscape" paperSize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300-000000000000}">
  <dimension ref="A1:AA57"/>
  <sheetViews>
    <sheetView rightToLeft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ColWidth="12.635" defaultRowHeight="15" customHeight="1"/>
  <cols>
    <col min="1" max="1" width="20.75" customWidth="1"/>
    <col min="2" max="2" width="13" customWidth="1"/>
    <col min="3" max="3" width="13.5" customWidth="1"/>
    <col min="4" max="5" width="11.875" customWidth="1"/>
    <col min="6" max="6" width="15.75" customWidth="1"/>
    <col min="7" max="7" width="12.25" customWidth="1"/>
    <col min="8" max="9" width="12" customWidth="1"/>
    <col min="10" max="10" width="11.625" customWidth="1"/>
    <col min="11" max="15" width="10" customWidth="1"/>
    <col min="16" max="20" width="9.75" customWidth="1"/>
    <col min="21" max="21" width="11.5" customWidth="1"/>
    <col min="22" max="22" width="8.25" customWidth="1"/>
    <col min="23" max="23" width="9.125" customWidth="1"/>
    <col min="24" max="24" width="8.25" customWidth="1"/>
    <col min="25" max="25" width="14.375" customWidth="1"/>
    <col min="26" max="26" width="16.125" customWidth="1"/>
    <col min="27" max="27" width="14.375" customWidth="1"/>
  </cols>
  <sheetData>
    <row r="1" spans="1:24" ht="30" customHeight="1" thickBot="1">
      <c r="A1" s="101" t="s">
        <v>29</v>
      </c>
      <c r="B1" s="108">
        <v>813375</v>
      </c>
      <c r="C1" s="108">
        <v>814553</v>
      </c>
      <c r="D1" s="108">
        <v>813308</v>
      </c>
      <c r="E1" s="108">
        <v>813207</v>
      </c>
      <c r="F1" s="108">
        <v>813217</v>
      </c>
      <c r="G1" s="108">
        <v>813038</v>
      </c>
      <c r="H1" s="104" t="s">
        <v>36</v>
      </c>
      <c r="I1" s="102" t="s">
        <v>107</v>
      </c>
      <c r="J1" s="102" t="s">
        <v>108</v>
      </c>
      <c r="K1" s="102" t="s">
        <v>109</v>
      </c>
      <c r="L1" s="102" t="s">
        <v>110</v>
      </c>
      <c r="M1" s="102" t="s">
        <v>39</v>
      </c>
      <c r="N1" s="107" t="s">
        <v>40</v>
      </c>
      <c r="O1" s="102" t="s">
        <v>111</v>
      </c>
      <c r="P1" s="102" t="s">
        <v>112</v>
      </c>
      <c r="Q1" s="102" t="s">
        <v>113</v>
      </c>
      <c r="R1" s="102" t="s">
        <v>114</v>
      </c>
      <c r="S1" s="102" t="s">
        <v>115</v>
      </c>
      <c r="T1" s="185"/>
      <c r="U1" s="186" t="s">
        <v>46</v>
      </c>
      <c r="V1" s="110" t="s">
        <v>47</v>
      </c>
      <c r="W1" s="110" t="s">
        <v>48</v>
      </c>
      <c r="X1" s="110" t="s">
        <v>49</v>
      </c>
    </row>
    <row r="2" spans="1:27" ht="13.5" customHeight="1">
      <c r="A2" s="111" t="s">
        <v>12</v>
      </c>
      <c r="B2" s="112">
        <v>30</v>
      </c>
      <c r="C2" s="112">
        <v>23</v>
      </c>
      <c r="D2" s="112">
        <v>27</v>
      </c>
      <c r="E2" s="112"/>
      <c r="F2" s="112"/>
      <c r="G2" s="112"/>
      <c r="H2" s="114"/>
      <c r="I2" s="112"/>
      <c r="J2" s="112"/>
      <c r="K2" s="114"/>
      <c r="L2" s="112"/>
      <c r="M2" s="114"/>
      <c r="N2" s="114"/>
      <c r="O2" s="112"/>
      <c r="P2" s="114"/>
      <c r="Q2" s="114"/>
      <c r="R2" s="112">
        <v>144</v>
      </c>
      <c r="S2" s="114"/>
      <c r="T2" s="115"/>
      <c r="U2" s="119"/>
      <c r="V2" s="115">
        <f t="shared" si="0" ref="V2:V19">SUM(B2:H2)</f>
        <v>80</v>
      </c>
      <c r="W2" s="114">
        <f t="shared" si="1" ref="W2:W19">SUM(I2:U2)</f>
        <v>144</v>
      </c>
      <c r="X2" s="114">
        <f t="shared" si="2" ref="X2:X19">W2+V2</f>
        <v>224</v>
      </c>
      <c r="Z2" s="116" t="s">
        <v>12</v>
      </c>
      <c r="AA2" s="117">
        <f t="shared" si="3" ref="AA2:AA19">X2</f>
        <v>224</v>
      </c>
    </row>
    <row r="3" spans="1:27" ht="13.5" customHeight="1">
      <c r="A3" s="111" t="s">
        <v>13</v>
      </c>
      <c r="B3" s="114"/>
      <c r="C3" s="114"/>
      <c r="D3" s="112"/>
      <c r="E3" s="112"/>
      <c r="F3" s="112">
        <v>16</v>
      </c>
      <c r="G3" s="112">
        <v>23</v>
      </c>
      <c r="H3" s="114"/>
      <c r="I3" s="114"/>
      <c r="J3" s="114"/>
      <c r="K3" s="114"/>
      <c r="L3" s="114"/>
      <c r="M3" s="114"/>
      <c r="N3" s="114"/>
      <c r="O3" s="114"/>
      <c r="P3" s="114"/>
      <c r="Q3" s="112"/>
      <c r="R3" s="114"/>
      <c r="S3" s="114"/>
      <c r="T3" s="115"/>
      <c r="U3" s="115"/>
      <c r="V3" s="115">
        <f t="shared" si="0"/>
        <v>39</v>
      </c>
      <c r="W3" s="114">
        <f t="shared" si="1"/>
        <v>0</v>
      </c>
      <c r="X3" s="114">
        <f t="shared" si="2"/>
        <v>39</v>
      </c>
      <c r="Z3" s="120" t="str">
        <f>A3</f>
        <v>נפיץ M107A3 / סרבי</v>
      </c>
      <c r="AA3" s="187">
        <f t="shared" si="3"/>
        <v>39</v>
      </c>
    </row>
    <row r="4" spans="1:27" ht="13.5" customHeight="1">
      <c r="A4" s="111" t="s">
        <v>14</v>
      </c>
      <c r="B4" s="112">
        <v>13</v>
      </c>
      <c r="C4" s="112">
        <v>13</v>
      </c>
      <c r="D4" s="112">
        <v>13</v>
      </c>
      <c r="E4" s="112">
        <v>13</v>
      </c>
      <c r="F4" s="112">
        <v>13</v>
      </c>
      <c r="G4" s="112">
        <v>13</v>
      </c>
      <c r="H4" s="114"/>
      <c r="I4" s="112"/>
      <c r="J4" s="112"/>
      <c r="K4" s="114"/>
      <c r="L4" s="112">
        <v>48</v>
      </c>
      <c r="M4" s="114"/>
      <c r="N4" s="114"/>
      <c r="O4" s="114"/>
      <c r="P4" s="114"/>
      <c r="Q4" s="114"/>
      <c r="R4" s="114"/>
      <c r="S4" s="114"/>
      <c r="T4" s="115"/>
      <c r="U4" s="115"/>
      <c r="V4" s="115">
        <f t="shared" si="0"/>
        <v>78</v>
      </c>
      <c r="W4" s="114">
        <f t="shared" si="1"/>
        <v>48</v>
      </c>
      <c r="X4" s="114">
        <f t="shared" si="2"/>
        <v>126</v>
      </c>
      <c r="Z4" s="121" t="s">
        <v>14</v>
      </c>
      <c r="AA4" s="187">
        <f t="shared" si="3"/>
        <v>126</v>
      </c>
    </row>
    <row r="5" spans="1:27" ht="13.5" customHeight="1">
      <c r="A5" s="111" t="s">
        <v>15</v>
      </c>
      <c r="B5" s="112">
        <v>8</v>
      </c>
      <c r="C5" s="112">
        <v>8</v>
      </c>
      <c r="D5" s="112">
        <v>10</v>
      </c>
      <c r="E5" s="112">
        <v>6</v>
      </c>
      <c r="F5" s="112">
        <v>16</v>
      </c>
      <c r="G5" s="112">
        <v>14</v>
      </c>
      <c r="H5" s="114"/>
      <c r="I5" s="114"/>
      <c r="J5" s="114"/>
      <c r="K5" s="112"/>
      <c r="L5" s="112">
        <v>24</v>
      </c>
      <c r="M5" s="114"/>
      <c r="N5" s="114"/>
      <c r="O5" s="112">
        <v>72</v>
      </c>
      <c r="P5" s="114"/>
      <c r="Q5" s="114"/>
      <c r="R5" s="114"/>
      <c r="S5" s="114"/>
      <c r="T5" s="115"/>
      <c r="U5" s="115"/>
      <c r="V5" s="115">
        <f t="shared" si="0"/>
        <v>62</v>
      </c>
      <c r="W5" s="114">
        <f t="shared" si="1"/>
        <v>96</v>
      </c>
      <c r="X5" s="114">
        <f t="shared" si="2"/>
        <v>158</v>
      </c>
      <c r="Z5" s="121" t="s">
        <v>15</v>
      </c>
      <c r="AA5" s="187">
        <f t="shared" si="3"/>
        <v>158</v>
      </c>
    </row>
    <row r="6" spans="1:27" ht="13.5" customHeight="1">
      <c r="A6" s="111" t="s">
        <v>16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5"/>
      <c r="U6" s="115"/>
      <c r="V6" s="115">
        <f t="shared" si="0"/>
        <v>0</v>
      </c>
      <c r="W6" s="114">
        <f t="shared" si="1"/>
        <v>0</v>
      </c>
      <c r="X6" s="114">
        <f t="shared" si="2"/>
        <v>0</v>
      </c>
      <c r="Z6" s="121" t="s">
        <v>16</v>
      </c>
      <c r="AA6" s="187">
        <f t="shared" si="3"/>
        <v>0</v>
      </c>
    </row>
    <row r="7" spans="1:27" ht="15">
      <c r="A7" s="111" t="s">
        <v>17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23"/>
      <c r="U7" s="123"/>
      <c r="V7" s="115">
        <f t="shared" si="0"/>
        <v>0</v>
      </c>
      <c r="W7" s="114">
        <f t="shared" si="1"/>
        <v>0</v>
      </c>
      <c r="X7" s="114">
        <f t="shared" si="2"/>
        <v>0</v>
      </c>
      <c r="Z7" s="121" t="s">
        <v>17</v>
      </c>
      <c r="AA7" s="187">
        <f t="shared" si="3"/>
        <v>0</v>
      </c>
    </row>
    <row r="8" spans="1:27" ht="15">
      <c r="A8" s="111" t="s">
        <v>18</v>
      </c>
      <c r="B8" s="112">
        <v>20</v>
      </c>
      <c r="C8" s="112">
        <v>20</v>
      </c>
      <c r="D8" s="112">
        <v>20</v>
      </c>
      <c r="E8" s="114"/>
      <c r="F8" s="112">
        <v>13</v>
      </c>
      <c r="G8" s="112">
        <v>18</v>
      </c>
      <c r="H8" s="114"/>
      <c r="I8" s="114"/>
      <c r="J8" s="114"/>
      <c r="K8" s="114"/>
      <c r="L8" s="114"/>
      <c r="M8" s="114"/>
      <c r="N8" s="114"/>
      <c r="O8" s="112">
        <v>48</v>
      </c>
      <c r="P8" s="114"/>
      <c r="Q8" s="114"/>
      <c r="R8" s="114"/>
      <c r="S8" s="114"/>
      <c r="T8" s="115"/>
      <c r="U8" s="115"/>
      <c r="V8" s="115">
        <f t="shared" si="0"/>
        <v>91</v>
      </c>
      <c r="W8" s="114">
        <f t="shared" si="1"/>
        <v>48</v>
      </c>
      <c r="X8" s="114">
        <f t="shared" si="2"/>
        <v>139</v>
      </c>
      <c r="Z8" s="121" t="s">
        <v>18</v>
      </c>
      <c r="AA8" s="187">
        <f t="shared" si="3"/>
        <v>139</v>
      </c>
    </row>
    <row r="9" spans="1:27" ht="15">
      <c r="A9" s="111" t="s">
        <v>19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5"/>
      <c r="U9" s="115"/>
      <c r="V9" s="115">
        <f t="shared" si="0"/>
        <v>0</v>
      </c>
      <c r="W9" s="114">
        <f t="shared" si="1"/>
        <v>0</v>
      </c>
      <c r="X9" s="114">
        <f t="shared" si="2"/>
        <v>0</v>
      </c>
      <c r="Z9" s="121" t="s">
        <v>19</v>
      </c>
      <c r="AA9" s="187">
        <f t="shared" si="3"/>
        <v>0</v>
      </c>
    </row>
    <row r="10" spans="1:27" ht="15">
      <c r="A10" s="124" t="s">
        <v>20</v>
      </c>
      <c r="V10" s="115">
        <f t="shared" si="0"/>
        <v>0</v>
      </c>
      <c r="W10" s="114">
        <f t="shared" si="1"/>
        <v>0</v>
      </c>
      <c r="X10" s="114">
        <f t="shared" si="2"/>
        <v>0</v>
      </c>
      <c r="Z10" s="126" t="s">
        <v>20</v>
      </c>
      <c r="AA10" s="187">
        <f t="shared" si="3"/>
        <v>0</v>
      </c>
    </row>
    <row r="11" spans="1:27" ht="15">
      <c r="A11" s="127">
        <v>582</v>
      </c>
      <c r="B11" s="112">
        <v>16</v>
      </c>
      <c r="C11" s="112">
        <v>8</v>
      </c>
      <c r="D11" s="112">
        <v>14</v>
      </c>
      <c r="E11" s="112">
        <v>24</v>
      </c>
      <c r="F11" s="112">
        <v>16</v>
      </c>
      <c r="G11" s="112">
        <v>40</v>
      </c>
      <c r="H11" s="114"/>
      <c r="I11" s="112"/>
      <c r="J11" s="112"/>
      <c r="K11" s="114"/>
      <c r="L11" s="112">
        <v>32</v>
      </c>
      <c r="M11" s="114"/>
      <c r="N11" s="114"/>
      <c r="O11" s="114"/>
      <c r="P11" s="114"/>
      <c r="Q11" s="114"/>
      <c r="R11" s="114"/>
      <c r="S11" s="114"/>
      <c r="T11" s="115"/>
      <c r="U11" s="115"/>
      <c r="V11" s="115">
        <f t="shared" si="0"/>
        <v>118</v>
      </c>
      <c r="W11" s="114">
        <f t="shared" si="1"/>
        <v>32</v>
      </c>
      <c r="X11" s="114">
        <f t="shared" si="2"/>
        <v>150</v>
      </c>
      <c r="Z11" s="128">
        <v>582</v>
      </c>
      <c r="AA11" s="187">
        <f t="shared" si="3"/>
        <v>150</v>
      </c>
    </row>
    <row r="12" spans="1:27" ht="14.25" customHeight="1">
      <c r="A12" s="127">
        <v>739</v>
      </c>
      <c r="B12" s="112"/>
      <c r="C12" s="112"/>
      <c r="D12" s="112"/>
      <c r="E12" s="112"/>
      <c r="F12" s="112">
        <v>12</v>
      </c>
      <c r="G12" s="112"/>
      <c r="H12" s="114"/>
      <c r="I12" s="112"/>
      <c r="J12" s="112"/>
      <c r="K12" s="112"/>
      <c r="L12" s="112"/>
      <c r="M12" s="114"/>
      <c r="N12" s="114"/>
      <c r="O12" s="114"/>
      <c r="P12" s="114"/>
      <c r="Q12" s="114"/>
      <c r="R12" s="114"/>
      <c r="S12" s="114"/>
      <c r="T12" s="115"/>
      <c r="U12" s="115"/>
      <c r="V12" s="115">
        <f t="shared" si="0"/>
        <v>12</v>
      </c>
      <c r="W12" s="114">
        <f t="shared" si="1"/>
        <v>0</v>
      </c>
      <c r="X12" s="114">
        <f t="shared" si="2"/>
        <v>12</v>
      </c>
      <c r="Z12" s="128">
        <v>739</v>
      </c>
      <c r="AA12" s="187">
        <f t="shared" si="3"/>
        <v>12</v>
      </c>
    </row>
    <row r="13" spans="1:27" ht="15">
      <c r="A13" s="127">
        <v>137</v>
      </c>
      <c r="B13" s="112">
        <v>16</v>
      </c>
      <c r="C13" s="112">
        <v>16</v>
      </c>
      <c r="D13" s="112">
        <v>16</v>
      </c>
      <c r="E13" s="112">
        <v>8</v>
      </c>
      <c r="F13" s="112">
        <v>8</v>
      </c>
      <c r="G13" s="112">
        <v>16</v>
      </c>
      <c r="H13" s="114"/>
      <c r="I13" s="112"/>
      <c r="J13" s="112"/>
      <c r="K13" s="114"/>
      <c r="L13" s="112">
        <v>32</v>
      </c>
      <c r="M13" s="114"/>
      <c r="N13" s="114"/>
      <c r="O13" s="114"/>
      <c r="P13" s="114"/>
      <c r="Q13" s="114"/>
      <c r="R13" s="114"/>
      <c r="S13" s="114"/>
      <c r="T13" s="115"/>
      <c r="U13" s="115"/>
      <c r="V13" s="115">
        <f t="shared" si="0"/>
        <v>80</v>
      </c>
      <c r="W13" s="114">
        <f t="shared" si="1"/>
        <v>32</v>
      </c>
      <c r="X13" s="114">
        <f t="shared" si="2"/>
        <v>112</v>
      </c>
      <c r="Z13" s="128">
        <v>137</v>
      </c>
      <c r="AA13" s="187">
        <f t="shared" si="3"/>
        <v>112</v>
      </c>
    </row>
    <row r="14" spans="1:27" ht="15">
      <c r="A14" s="127">
        <v>762</v>
      </c>
      <c r="B14" s="129">
        <v>12</v>
      </c>
      <c r="C14" s="129">
        <v>14</v>
      </c>
      <c r="D14" s="129">
        <v>29</v>
      </c>
      <c r="E14" s="131"/>
      <c r="F14" s="129">
        <v>21</v>
      </c>
      <c r="G14" s="129">
        <v>24</v>
      </c>
      <c r="H14" s="131"/>
      <c r="I14" s="131"/>
      <c r="J14" s="131"/>
      <c r="K14" s="131"/>
      <c r="L14" s="131"/>
      <c r="M14" s="131"/>
      <c r="N14" s="131"/>
      <c r="O14" s="129">
        <v>64</v>
      </c>
      <c r="P14" s="131"/>
      <c r="Q14" s="131"/>
      <c r="R14" s="131"/>
      <c r="S14" s="131"/>
      <c r="T14" s="132"/>
      <c r="U14" s="132"/>
      <c r="V14" s="115">
        <f t="shared" si="0"/>
        <v>100</v>
      </c>
      <c r="W14" s="114">
        <f t="shared" si="1"/>
        <v>64</v>
      </c>
      <c r="X14" s="114">
        <f t="shared" si="2"/>
        <v>164</v>
      </c>
      <c r="Z14" s="128">
        <v>762</v>
      </c>
      <c r="AA14" s="187">
        <f t="shared" si="3"/>
        <v>164</v>
      </c>
    </row>
    <row r="15" spans="1:27" ht="15">
      <c r="A15" s="127">
        <v>147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2"/>
      <c r="U15" s="132"/>
      <c r="V15" s="115">
        <f t="shared" si="0"/>
        <v>0</v>
      </c>
      <c r="W15" s="114">
        <f t="shared" si="1"/>
        <v>0</v>
      </c>
      <c r="X15" s="114">
        <f t="shared" si="2"/>
        <v>0</v>
      </c>
      <c r="Z15" s="128">
        <v>147</v>
      </c>
      <c r="AA15" s="187">
        <f t="shared" si="3"/>
        <v>0</v>
      </c>
    </row>
    <row r="16" spans="1:27" ht="15">
      <c r="A16" s="18">
        <v>148</v>
      </c>
      <c r="B16" s="188">
        <v>30</v>
      </c>
      <c r="C16" s="188">
        <v>23</v>
      </c>
      <c r="D16" s="188">
        <v>23</v>
      </c>
      <c r="F16" s="188">
        <v>16</v>
      </c>
      <c r="G16" s="188">
        <v>23</v>
      </c>
      <c r="Q16" s="124"/>
      <c r="V16" s="115">
        <f t="shared" si="0"/>
        <v>115</v>
      </c>
      <c r="W16" s="114">
        <f t="shared" si="1"/>
        <v>0</v>
      </c>
      <c r="X16" s="114">
        <f t="shared" si="2"/>
        <v>115</v>
      </c>
      <c r="Z16" s="18" t="s">
        <v>21</v>
      </c>
      <c r="AA16" s="187">
        <f t="shared" si="3"/>
        <v>115</v>
      </c>
    </row>
    <row r="17" spans="1:27" ht="15">
      <c r="A17" s="133" t="s">
        <v>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23"/>
      <c r="U17" s="123"/>
      <c r="V17" s="115">
        <f t="shared" si="0"/>
        <v>0</v>
      </c>
      <c r="W17" s="114">
        <f t="shared" si="1"/>
        <v>0</v>
      </c>
      <c r="X17" s="114">
        <f t="shared" si="2"/>
        <v>0</v>
      </c>
      <c r="Z17" s="133" t="s">
        <v>22</v>
      </c>
      <c r="AA17" s="187">
        <f t="shared" si="3"/>
        <v>0</v>
      </c>
    </row>
    <row r="18" spans="1:27" ht="15">
      <c r="A18" s="189">
        <v>984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90">
        <v>144</v>
      </c>
      <c r="S18" s="5"/>
      <c r="T18" s="5"/>
      <c r="U18" s="5"/>
      <c r="V18" s="115">
        <f t="shared" si="0"/>
        <v>0</v>
      </c>
      <c r="W18" s="114">
        <f t="shared" si="1"/>
        <v>144</v>
      </c>
      <c r="X18" s="114">
        <f t="shared" si="2"/>
        <v>144</v>
      </c>
      <c r="Z18" s="134">
        <v>984</v>
      </c>
      <c r="AA18" s="187">
        <f t="shared" si="3"/>
        <v>144</v>
      </c>
    </row>
    <row r="19" spans="1:27" ht="15">
      <c r="A19" s="124">
        <v>557</v>
      </c>
      <c r="V19" s="115">
        <f t="shared" si="0"/>
        <v>0</v>
      </c>
      <c r="W19" s="114">
        <f t="shared" si="1"/>
        <v>0</v>
      </c>
      <c r="X19" s="114">
        <f t="shared" si="2"/>
        <v>0</v>
      </c>
      <c r="Z19" s="124">
        <v>557</v>
      </c>
      <c r="AA19" s="187">
        <f t="shared" si="3"/>
        <v>0</v>
      </c>
    </row>
    <row r="20" spans="1:27" ht="15">
      <c r="A20" s="137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Z20" s="139" t="s">
        <v>23</v>
      </c>
      <c r="AA20" s="187">
        <f>SUM(X21:X30)</f>
        <v>89</v>
      </c>
    </row>
    <row r="21" spans="1:27" ht="15">
      <c r="A21" s="140" t="s">
        <v>116</v>
      </c>
      <c r="B21" s="142">
        <v>20</v>
      </c>
      <c r="C21" s="142">
        <v>18</v>
      </c>
      <c r="D21" s="142">
        <v>33</v>
      </c>
      <c r="E21" s="142"/>
      <c r="F21" s="142"/>
      <c r="G21" s="142"/>
      <c r="H21" s="141"/>
      <c r="I21" s="141"/>
      <c r="J21" s="141"/>
      <c r="K21" s="191"/>
      <c r="L21" s="191"/>
      <c r="M21" s="143"/>
      <c r="N21" s="143"/>
      <c r="O21" s="143"/>
      <c r="P21" s="142"/>
      <c r="Q21" s="141"/>
      <c r="R21" s="141"/>
      <c r="S21" s="141"/>
      <c r="T21" s="144"/>
      <c r="U21" s="144"/>
      <c r="V21" s="115">
        <f t="shared" si="4" ref="V21:V34">SUM(B21:H21)</f>
        <v>71</v>
      </c>
      <c r="W21" s="114">
        <f t="shared" si="5" ref="W21:W34">SUM(I21:U21)</f>
        <v>0</v>
      </c>
      <c r="X21" s="114">
        <f t="shared" si="6" ref="X21:X34">W21+V21</f>
        <v>71</v>
      </c>
      <c r="Z21" s="139" t="s">
        <v>24</v>
      </c>
      <c r="AA21" s="187">
        <f>SUM(X31:X34)</f>
        <v>408</v>
      </c>
    </row>
    <row r="22" spans="1:27" ht="15">
      <c r="A22" s="145" t="s">
        <v>51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4"/>
      <c r="U22" s="144"/>
      <c r="V22" s="115">
        <f t="shared" si="4"/>
        <v>0</v>
      </c>
      <c r="W22" s="114">
        <f t="shared" si="5"/>
        <v>0</v>
      </c>
      <c r="X22" s="114">
        <f t="shared" si="6"/>
        <v>0</v>
      </c>
      <c r="Z22" s="139" t="s">
        <v>95</v>
      </c>
      <c r="AA22" s="187">
        <f>SUM(X36:X44)</f>
        <v>164</v>
      </c>
    </row>
    <row r="23" spans="1:27" ht="12.75" customHeight="1">
      <c r="A23" s="145" t="s">
        <v>96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15">
        <f t="shared" si="4"/>
        <v>0</v>
      </c>
      <c r="W23" s="114">
        <f t="shared" si="5"/>
        <v>0</v>
      </c>
      <c r="X23" s="114">
        <f t="shared" si="6"/>
        <v>0</v>
      </c>
      <c r="Z23" s="139" t="s">
        <v>26</v>
      </c>
      <c r="AA23" s="187">
        <f t="shared" si="7" ref="AA23:AA25">X46</f>
        <v>0</v>
      </c>
    </row>
    <row r="24" spans="1:27" ht="12.75" customHeight="1">
      <c r="A24" s="145" t="s">
        <v>54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15">
        <f t="shared" si="4"/>
        <v>0</v>
      </c>
      <c r="W24" s="114">
        <f t="shared" si="5"/>
        <v>0</v>
      </c>
      <c r="X24" s="114">
        <f t="shared" si="6"/>
        <v>0</v>
      </c>
      <c r="Z24" s="139" t="s">
        <v>27</v>
      </c>
      <c r="AA24" s="187">
        <f t="shared" si="7"/>
        <v>0</v>
      </c>
    </row>
    <row r="25" spans="1:27" ht="12.75" customHeight="1" thickBot="1">
      <c r="A25" s="145" t="s">
        <v>55</v>
      </c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3"/>
      <c r="O25" s="141"/>
      <c r="P25" s="141"/>
      <c r="Q25" s="141"/>
      <c r="R25" s="141"/>
      <c r="S25" s="141"/>
      <c r="T25" s="141"/>
      <c r="U25" s="141"/>
      <c r="V25" s="115">
        <f t="shared" si="4"/>
        <v>0</v>
      </c>
      <c r="W25" s="114">
        <f t="shared" si="5"/>
        <v>0</v>
      </c>
      <c r="X25" s="114">
        <f t="shared" si="6"/>
        <v>0</v>
      </c>
      <c r="Z25" s="146" t="s">
        <v>28</v>
      </c>
      <c r="AA25" s="192">
        <f t="shared" si="7"/>
        <v>1048</v>
      </c>
    </row>
    <row r="26" spans="1:24" ht="12.75" customHeight="1">
      <c r="A26" s="147" t="s">
        <v>50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15">
        <f t="shared" si="4"/>
        <v>0</v>
      </c>
      <c r="W26" s="114">
        <f t="shared" si="5"/>
        <v>0</v>
      </c>
      <c r="X26" s="114">
        <f t="shared" si="6"/>
        <v>0</v>
      </c>
    </row>
    <row r="27" spans="1:24" ht="12.75" customHeight="1">
      <c r="A27" s="147" t="s">
        <v>56</v>
      </c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15">
        <f t="shared" si="4"/>
        <v>0</v>
      </c>
      <c r="W27" s="114">
        <f t="shared" si="5"/>
        <v>0</v>
      </c>
      <c r="X27" s="114">
        <f t="shared" si="6"/>
        <v>0</v>
      </c>
    </row>
    <row r="28" spans="1:24" ht="12.75" customHeight="1">
      <c r="A28" s="147" t="s">
        <v>57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15">
        <f t="shared" si="4"/>
        <v>0</v>
      </c>
      <c r="W28" s="114">
        <f t="shared" si="5"/>
        <v>0</v>
      </c>
      <c r="X28" s="114">
        <f t="shared" si="6"/>
        <v>0</v>
      </c>
    </row>
    <row r="29" spans="1:24" ht="12.75" customHeight="1">
      <c r="A29" s="193" t="s">
        <v>117</v>
      </c>
      <c r="B29" s="141"/>
      <c r="C29" s="141"/>
      <c r="D29" s="141"/>
      <c r="E29" s="141"/>
      <c r="F29" s="142"/>
      <c r="G29" s="142">
        <v>18</v>
      </c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15">
        <f t="shared" si="4"/>
        <v>18</v>
      </c>
      <c r="W29" s="114">
        <f t="shared" si="5"/>
        <v>0</v>
      </c>
      <c r="X29" s="114">
        <f t="shared" si="6"/>
        <v>18</v>
      </c>
    </row>
    <row r="30" spans="1:24" ht="12.75" customHeight="1">
      <c r="A30" s="149" t="s">
        <v>98</v>
      </c>
      <c r="B30" s="142"/>
      <c r="C30" s="142"/>
      <c r="D30" s="142"/>
      <c r="E30" s="142"/>
      <c r="F30" s="142"/>
      <c r="G30" s="142"/>
      <c r="H30" s="141"/>
      <c r="I30" s="142"/>
      <c r="J30" s="142"/>
      <c r="K30" s="142"/>
      <c r="L30" s="142"/>
      <c r="M30" s="141"/>
      <c r="N30" s="141"/>
      <c r="O30" s="142"/>
      <c r="P30" s="141"/>
      <c r="Q30" s="141"/>
      <c r="R30" s="141"/>
      <c r="S30" s="141"/>
      <c r="T30" s="141"/>
      <c r="U30" s="141"/>
      <c r="V30" s="115">
        <f t="shared" si="4"/>
        <v>0</v>
      </c>
      <c r="W30" s="114">
        <f t="shared" si="5"/>
        <v>0</v>
      </c>
      <c r="X30" s="114">
        <f t="shared" si="6"/>
        <v>0</v>
      </c>
    </row>
    <row r="31" spans="1:24" ht="13.5" customHeight="1">
      <c r="A31" s="149" t="s">
        <v>118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2">
        <v>144</v>
      </c>
      <c r="S31" s="141"/>
      <c r="T31" s="141"/>
      <c r="U31" s="144"/>
      <c r="V31" s="115">
        <f t="shared" si="4"/>
        <v>0</v>
      </c>
      <c r="W31" s="114">
        <f t="shared" si="5"/>
        <v>144</v>
      </c>
      <c r="X31" s="114">
        <f t="shared" si="6"/>
        <v>144</v>
      </c>
    </row>
    <row r="32" spans="1:24" ht="13.5" customHeight="1">
      <c r="A32" s="149" t="s">
        <v>62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2">
        <v>120</v>
      </c>
      <c r="P32" s="141"/>
      <c r="Q32" s="141"/>
      <c r="R32" s="141"/>
      <c r="S32" s="141"/>
      <c r="T32" s="141"/>
      <c r="U32" s="144"/>
      <c r="V32" s="115">
        <f t="shared" si="4"/>
        <v>0</v>
      </c>
      <c r="W32" s="114">
        <f t="shared" si="5"/>
        <v>120</v>
      </c>
      <c r="X32" s="114">
        <f t="shared" si="6"/>
        <v>120</v>
      </c>
    </row>
    <row r="33" spans="1:24" ht="13.5" customHeight="1">
      <c r="A33" s="142" t="s">
        <v>119</v>
      </c>
      <c r="B33" s="152">
        <v>29</v>
      </c>
      <c r="C33" s="152">
        <v>29</v>
      </c>
      <c r="D33" s="142">
        <v>28</v>
      </c>
      <c r="E33" s="153"/>
      <c r="F33" s="152">
        <v>29</v>
      </c>
      <c r="G33" s="152">
        <v>29</v>
      </c>
      <c r="H33" s="152"/>
      <c r="I33" s="141"/>
      <c r="J33" s="141"/>
      <c r="K33" s="141"/>
      <c r="L33" s="141"/>
      <c r="M33" s="141"/>
      <c r="N33" s="141"/>
      <c r="O33" s="141"/>
      <c r="P33" s="141"/>
      <c r="Q33" s="142"/>
      <c r="R33" s="142"/>
      <c r="S33" s="141"/>
      <c r="T33" s="141"/>
      <c r="U33" s="154"/>
      <c r="V33" s="115">
        <f t="shared" si="4"/>
        <v>144</v>
      </c>
      <c r="W33" s="114">
        <f t="shared" si="5"/>
        <v>0</v>
      </c>
      <c r="X33" s="114">
        <f t="shared" si="6"/>
        <v>144</v>
      </c>
    </row>
    <row r="34" spans="1:24" ht="13.5" customHeight="1">
      <c r="A34" s="147" t="s">
        <v>64</v>
      </c>
      <c r="B34" s="153"/>
      <c r="C34" s="153"/>
      <c r="D34" s="153"/>
      <c r="E34" s="153"/>
      <c r="F34" s="153"/>
      <c r="G34" s="153"/>
      <c r="H34" s="153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2"/>
      <c r="T34" s="141"/>
      <c r="U34" s="144"/>
      <c r="V34" s="115">
        <f t="shared" si="4"/>
        <v>0</v>
      </c>
      <c r="W34" s="114">
        <f t="shared" si="5"/>
        <v>0</v>
      </c>
      <c r="X34" s="114">
        <f t="shared" si="6"/>
        <v>0</v>
      </c>
    </row>
    <row r="35" spans="1:24" ht="13.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58"/>
      <c r="U35" s="158"/>
      <c r="V35" s="137"/>
      <c r="W35" s="137"/>
      <c r="X35" s="137"/>
    </row>
    <row r="36" spans="1:24" ht="13.5" customHeight="1">
      <c r="A36" s="159" t="s">
        <v>103</v>
      </c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2"/>
      <c r="U36" s="162"/>
      <c r="V36" s="115">
        <f t="shared" si="8" ref="V36:V44">SUM(B36:H36)</f>
        <v>0</v>
      </c>
      <c r="W36" s="114">
        <f t="shared" si="9" ref="W36:W44">SUM(I36:U36)</f>
        <v>0</v>
      </c>
      <c r="X36" s="114">
        <f t="shared" si="10" ref="X36:X44">W36+V36</f>
        <v>0</v>
      </c>
    </row>
    <row r="37" spans="1:24" ht="15.75" customHeight="1">
      <c r="A37" s="163" t="s">
        <v>66</v>
      </c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64"/>
      <c r="U37" s="164"/>
      <c r="V37" s="115">
        <f t="shared" si="8"/>
        <v>0</v>
      </c>
      <c r="W37" s="114">
        <f t="shared" si="9"/>
        <v>0</v>
      </c>
      <c r="X37" s="114">
        <f t="shared" si="10"/>
        <v>0</v>
      </c>
    </row>
    <row r="38" spans="1:24" ht="15.75" customHeight="1">
      <c r="A38" s="163" t="s">
        <v>67</v>
      </c>
      <c r="B38" s="114"/>
      <c r="C38" s="114"/>
      <c r="D38" s="114"/>
      <c r="E38" s="160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65"/>
      <c r="U38" s="165"/>
      <c r="V38" s="115">
        <f t="shared" si="8"/>
        <v>0</v>
      </c>
      <c r="W38" s="114">
        <f t="shared" si="9"/>
        <v>0</v>
      </c>
      <c r="X38" s="114">
        <f t="shared" si="10"/>
        <v>0</v>
      </c>
    </row>
    <row r="39" spans="1:24" ht="15.75" customHeight="1">
      <c r="A39" s="163" t="s">
        <v>68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64"/>
      <c r="U39" s="164"/>
      <c r="V39" s="115">
        <f t="shared" si="8"/>
        <v>0</v>
      </c>
      <c r="W39" s="114">
        <f t="shared" si="9"/>
        <v>0</v>
      </c>
      <c r="X39" s="114">
        <f t="shared" si="10"/>
        <v>0</v>
      </c>
    </row>
    <row r="40" spans="1:24" ht="15.75" customHeight="1">
      <c r="A40" s="166" t="s">
        <v>104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2">
        <v>43</v>
      </c>
      <c r="Q40" s="112"/>
      <c r="R40" s="112"/>
      <c r="S40" s="112"/>
      <c r="T40" s="165"/>
      <c r="U40" s="165"/>
      <c r="V40" s="115">
        <f t="shared" si="8"/>
        <v>0</v>
      </c>
      <c r="W40" s="114">
        <f t="shared" si="9"/>
        <v>43</v>
      </c>
      <c r="X40" s="114">
        <f t="shared" si="10"/>
        <v>43</v>
      </c>
    </row>
    <row r="41" spans="1:24" ht="15.75" customHeight="1">
      <c r="A41" s="166" t="s">
        <v>105</v>
      </c>
      <c r="B41" s="112"/>
      <c r="C41" s="112"/>
      <c r="D41" s="112"/>
      <c r="E41" s="112"/>
      <c r="F41" s="112"/>
      <c r="G41" s="112"/>
      <c r="H41" s="114"/>
      <c r="I41" s="114"/>
      <c r="J41" s="114"/>
      <c r="K41" s="114"/>
      <c r="L41" s="114"/>
      <c r="M41" s="114"/>
      <c r="N41" s="114"/>
      <c r="O41" s="114"/>
      <c r="P41" s="112">
        <v>16</v>
      </c>
      <c r="Q41" s="114"/>
      <c r="R41" s="114"/>
      <c r="S41" s="114"/>
      <c r="T41" s="164"/>
      <c r="U41" s="164"/>
      <c r="V41" s="115">
        <f t="shared" si="8"/>
        <v>0</v>
      </c>
      <c r="W41" s="114">
        <f t="shared" si="9"/>
        <v>16</v>
      </c>
      <c r="X41" s="114">
        <f t="shared" si="10"/>
        <v>16</v>
      </c>
    </row>
    <row r="42" spans="1:24" ht="15.75" customHeight="1">
      <c r="A42" s="163" t="s">
        <v>70</v>
      </c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2">
        <v>4</v>
      </c>
      <c r="Q42" s="114"/>
      <c r="R42" s="114"/>
      <c r="S42" s="114"/>
      <c r="T42" s="165"/>
      <c r="U42" s="165"/>
      <c r="V42" s="115">
        <f t="shared" si="8"/>
        <v>0</v>
      </c>
      <c r="W42" s="114">
        <f t="shared" si="9"/>
        <v>4</v>
      </c>
      <c r="X42" s="114">
        <f t="shared" si="10"/>
        <v>4</v>
      </c>
    </row>
    <row r="43" spans="1:24" ht="13.5" customHeight="1">
      <c r="A43" s="163" t="s">
        <v>71</v>
      </c>
      <c r="B43" s="112">
        <v>14</v>
      </c>
      <c r="C43" s="112">
        <v>20</v>
      </c>
      <c r="D43" s="112">
        <v>16</v>
      </c>
      <c r="E43" s="114"/>
      <c r="F43" s="112">
        <v>16</v>
      </c>
      <c r="G43" s="112">
        <v>16</v>
      </c>
      <c r="H43" s="114"/>
      <c r="I43" s="114"/>
      <c r="J43" s="114"/>
      <c r="K43" s="114"/>
      <c r="L43" s="114"/>
      <c r="M43" s="114"/>
      <c r="N43" s="114"/>
      <c r="O43" s="114"/>
      <c r="P43" s="112">
        <v>16</v>
      </c>
      <c r="Q43" s="114"/>
      <c r="R43" s="114"/>
      <c r="S43" s="114"/>
      <c r="T43" s="165"/>
      <c r="U43" s="165"/>
      <c r="V43" s="115">
        <f t="shared" si="8"/>
        <v>82</v>
      </c>
      <c r="W43" s="114">
        <f t="shared" si="9"/>
        <v>16</v>
      </c>
      <c r="X43" s="114">
        <f t="shared" si="10"/>
        <v>98</v>
      </c>
    </row>
    <row r="44" spans="1:24" ht="13.5" customHeight="1">
      <c r="A44" s="166" t="s">
        <v>72</v>
      </c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2">
        <v>3</v>
      </c>
      <c r="Q44" s="114"/>
      <c r="R44" s="114"/>
      <c r="S44" s="114"/>
      <c r="T44" s="165"/>
      <c r="U44" s="165"/>
      <c r="V44" s="115">
        <f t="shared" si="8"/>
        <v>0</v>
      </c>
      <c r="W44" s="114">
        <f t="shared" si="9"/>
        <v>3</v>
      </c>
      <c r="X44" s="114">
        <f t="shared" si="10"/>
        <v>3</v>
      </c>
    </row>
    <row r="45" spans="1:24" ht="13.5" customHeight="1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8"/>
      <c r="U45" s="168"/>
      <c r="V45" s="167"/>
      <c r="W45" s="167"/>
      <c r="X45" s="167"/>
    </row>
    <row r="46" spans="1:24" ht="13.5" customHeight="1">
      <c r="A46" s="141" t="s">
        <v>26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65"/>
      <c r="U46" s="165"/>
      <c r="V46" s="115">
        <f t="shared" si="11" ref="V46:V48">SUM(B46:H46)</f>
        <v>0</v>
      </c>
      <c r="W46" s="114">
        <f t="shared" si="12" ref="W46:W48">SUM(I46:U46)</f>
        <v>0</v>
      </c>
      <c r="X46" s="114">
        <f t="shared" si="13" ref="X46:X48">W46+V46</f>
        <v>0</v>
      </c>
    </row>
    <row r="47" spans="1:24" ht="13.5" customHeight="1">
      <c r="A47" s="169" t="s">
        <v>106</v>
      </c>
      <c r="C47" s="124"/>
      <c r="G47" s="188"/>
      <c r="V47" s="115">
        <f t="shared" si="11"/>
        <v>0</v>
      </c>
      <c r="W47" s="114">
        <f t="shared" si="12"/>
        <v>0</v>
      </c>
      <c r="X47" s="114">
        <f t="shared" si="13"/>
        <v>0</v>
      </c>
    </row>
    <row r="48" spans="1:24" ht="13.5" customHeight="1">
      <c r="A48" s="170" t="s">
        <v>28</v>
      </c>
      <c r="B48" s="173">
        <v>20</v>
      </c>
      <c r="C48" s="173">
        <v>10</v>
      </c>
      <c r="D48" s="173">
        <v>330</v>
      </c>
      <c r="E48" s="171"/>
      <c r="F48" s="173">
        <v>24</v>
      </c>
      <c r="G48" s="173">
        <v>142</v>
      </c>
      <c r="H48" s="171"/>
      <c r="I48" s="173">
        <v>84</v>
      </c>
      <c r="J48" s="171"/>
      <c r="K48" s="171"/>
      <c r="L48" s="174">
        <v>118</v>
      </c>
      <c r="M48" s="171"/>
      <c r="N48" s="171"/>
      <c r="O48" s="173"/>
      <c r="P48" s="171"/>
      <c r="Q48" s="173">
        <v>160</v>
      </c>
      <c r="R48" s="173">
        <v>160</v>
      </c>
      <c r="S48" s="171"/>
      <c r="T48" s="176"/>
      <c r="U48" s="176"/>
      <c r="V48" s="115">
        <f t="shared" si="11"/>
        <v>526</v>
      </c>
      <c r="W48" s="114">
        <f t="shared" si="12"/>
        <v>522</v>
      </c>
      <c r="X48" s="114">
        <f t="shared" si="13"/>
        <v>1048</v>
      </c>
    </row>
    <row r="49" spans="1:24" ht="13.5" customHeight="1">
      <c r="A49" s="101" t="s">
        <v>76</v>
      </c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</row>
    <row r="50" spans="1:24" ht="13.5" customHeight="1">
      <c r="A50" s="133" t="s">
        <v>77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123"/>
      <c r="U50" s="123"/>
      <c r="V50" s="115">
        <f>SUM(B50:H50)</f>
        <v>0</v>
      </c>
      <c r="W50" s="114">
        <f>SUM(I50:U50)</f>
        <v>0</v>
      </c>
      <c r="X50" s="114">
        <f t="shared" si="14" ref="X50:X54">W50+V50</f>
        <v>0</v>
      </c>
    </row>
    <row r="51" spans="1:24" ht="13.5" customHeight="1">
      <c r="A51" s="178" t="s">
        <v>78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2"/>
      <c r="U51" s="132"/>
      <c r="V51" s="115">
        <f t="shared" si="15" ref="V51:V54">SUM(B51:F51)</f>
        <v>0</v>
      </c>
      <c r="W51" s="114">
        <f t="shared" si="16" ref="W51:W54">SUM(G51:U51)</f>
        <v>0</v>
      </c>
      <c r="X51" s="114">
        <f t="shared" si="14"/>
        <v>0</v>
      </c>
    </row>
    <row r="52" spans="1:24" ht="13.5" customHeight="1">
      <c r="A52" s="178" t="s">
        <v>79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2"/>
      <c r="U52" s="132"/>
      <c r="V52" s="115">
        <f t="shared" si="15"/>
        <v>0</v>
      </c>
      <c r="W52" s="114">
        <f t="shared" si="16"/>
        <v>0</v>
      </c>
      <c r="X52" s="114">
        <f t="shared" si="14"/>
        <v>0</v>
      </c>
    </row>
    <row r="53" spans="1:24" ht="13.5" customHeight="1">
      <c r="A53" s="179" t="s">
        <v>80</v>
      </c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2"/>
      <c r="U53" s="182"/>
      <c r="V53" s="115">
        <f t="shared" si="15"/>
        <v>0</v>
      </c>
      <c r="W53" s="114">
        <f t="shared" si="16"/>
        <v>0</v>
      </c>
      <c r="X53" s="114">
        <f t="shared" si="14"/>
        <v>0</v>
      </c>
    </row>
    <row r="54" spans="1:24" ht="13.5" customHeight="1">
      <c r="A54" s="170" t="s">
        <v>28</v>
      </c>
      <c r="B54" s="129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2"/>
      <c r="U54" s="132"/>
      <c r="V54" s="115">
        <f t="shared" si="15"/>
        <v>0</v>
      </c>
      <c r="W54" s="114">
        <f t="shared" si="16"/>
        <v>0</v>
      </c>
      <c r="X54" s="114">
        <f t="shared" si="14"/>
        <v>0</v>
      </c>
    </row>
    <row r="55" spans="1:24" ht="13.5" customHeight="1">
      <c r="A55" s="101" t="s">
        <v>81</v>
      </c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</row>
    <row r="56" spans="1:24" ht="13.5" customHeight="1">
      <c r="A56" s="184" t="s">
        <v>82</v>
      </c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2"/>
      <c r="U56" s="132"/>
      <c r="V56" s="115">
        <f t="shared" si="17" ref="V56:V57">SUM(B56:F56)</f>
        <v>0</v>
      </c>
      <c r="W56" s="114">
        <f t="shared" si="18" ref="W56:W57">SUM(G56:U56)</f>
        <v>0</v>
      </c>
      <c r="X56" s="114">
        <f t="shared" si="19" ref="X56:X57">W56+V56</f>
        <v>0</v>
      </c>
    </row>
    <row r="57" spans="1:24" ht="13.5" customHeight="1">
      <c r="A57" s="184" t="s">
        <v>83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2"/>
      <c r="U57" s="132"/>
      <c r="V57" s="115">
        <f t="shared" si="17"/>
        <v>0</v>
      </c>
      <c r="W57" s="114">
        <f t="shared" si="18"/>
        <v>0</v>
      </c>
      <c r="X57" s="114">
        <f t="shared" si="19"/>
        <v>0</v>
      </c>
    </row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conditionalFormatting sqref="B46:U54 A48:A54">
    <cfRule type="cellIs" priority="1" dxfId="0" operator="lessThan">
      <formula>0</formula>
    </cfRule>
  </conditionalFormatting>
  <conditionalFormatting sqref="B54:U54">
    <cfRule type="cellIs" priority="2" dxfId="3" operator="lessThan">
      <formula>0</formula>
    </cfRule>
  </conditionalFormatting>
  <conditionalFormatting sqref="V2:X58">
    <cfRule type="cellIs" priority="3" dxfId="1" operator="lessThanOrEqual">
      <formula>97</formula>
    </cfRule>
  </conditionalFormatting>
  <conditionalFormatting sqref="V2:X58">
    <cfRule type="cellIs" priority="4" dxfId="2" operator="greaterThan">
      <formula>97</formula>
    </cfRule>
  </conditionalFormatting>
  <conditionalFormatting sqref="B48 H48:J48">
    <cfRule type="cellIs" priority="5" dxfId="0" operator="lessThan">
      <formula>SUM($I$4:$I$6)</formula>
    </cfRule>
  </conditionalFormatting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400-000000000000}">
  <sheetPr>
    <outlinePr summaryBelow="0" summaryRight="0"/>
  </sheetPr>
  <dimension ref="A1:A18"/>
  <sheetViews>
    <sheetView workbookViewId="0" topLeftCell="A1"/>
  </sheetViews>
  <sheetFormatPr defaultColWidth="12.635" defaultRowHeight="15" customHeight="1"/>
  <cols>
    <col min="1" max="1" width="25.125" customWidth="1"/>
    <col min="2" max="2" width="22.875" customWidth="1"/>
  </cols>
  <sheetData>
    <row r="1" spans="1:1" ht="92.25" customHeight="1">
      <c r="A1" s="194" t="s">
        <v>120</v>
      </c>
    </row>
    <row r="2" spans="1:1" ht="180.75" customHeight="1">
      <c r="A2" s="195"/>
    </row>
    <row r="3" spans="1:1" ht="15">
      <c r="A3" s="195"/>
    </row>
    <row r="4" spans="1:1" ht="15">
      <c r="A4" s="195"/>
    </row>
    <row r="5" spans="1:1" ht="15">
      <c r="A5" s="195"/>
    </row>
    <row r="6" spans="1:1" ht="15">
      <c r="A6" s="195"/>
    </row>
    <row r="7" spans="1:1" ht="15">
      <c r="A7" s="195"/>
    </row>
    <row r="8" spans="1:1" ht="15">
      <c r="A8" s="195"/>
    </row>
    <row r="9" spans="1:1" ht="15">
      <c r="A9" s="195"/>
    </row>
    <row r="10" spans="1:1" ht="15">
      <c r="A10" s="195"/>
    </row>
    <row r="11" spans="1:1" ht="15">
      <c r="A11" s="195"/>
    </row>
    <row r="12" spans="1:1" ht="15">
      <c r="A12" s="195"/>
    </row>
    <row r="13" spans="1:1" ht="15">
      <c r="A13" s="195"/>
    </row>
    <row r="14" spans="1:1" ht="15">
      <c r="A14" s="195"/>
    </row>
    <row r="15" spans="1:1" ht="15">
      <c r="A15" s="195"/>
    </row>
    <row r="16" spans="1:1" ht="15">
      <c r="A16" s="195"/>
    </row>
    <row r="17" spans="1:1" ht="15">
      <c r="A17" s="195"/>
    </row>
    <row r="18" spans="1:1" ht="15">
      <c r="A18" s="195"/>
    </row>
  </sheetData>
  <hyperlinks>
    <hyperlink ref="A1" r:id="rId1" display="https://forms.gle/QV2RxuF8yAs11UDH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500-000000000000}">
  <dimension ref="A1:AA57"/>
  <sheetViews>
    <sheetView rightToLeft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ColWidth="12.635" defaultRowHeight="15" customHeight="1"/>
  <cols>
    <col min="1" max="1" width="20.75" customWidth="1"/>
    <col min="2" max="2" width="13" customWidth="1"/>
    <col min="3" max="3" width="13.5" customWidth="1"/>
    <col min="4" max="5" width="11.875" customWidth="1"/>
    <col min="6" max="6" width="15.75" customWidth="1"/>
    <col min="7" max="7" width="12.25" customWidth="1"/>
    <col min="8" max="9" width="12" customWidth="1"/>
    <col min="10" max="10" width="11.625" customWidth="1"/>
    <col min="11" max="15" width="10" customWidth="1"/>
    <col min="16" max="20" width="9.75" customWidth="1"/>
    <col min="21" max="21" width="11.5" customWidth="1"/>
    <col min="22" max="22" width="8.25" customWidth="1"/>
    <col min="23" max="23" width="9.125" customWidth="1"/>
    <col min="24" max="24" width="8.25" customWidth="1"/>
    <col min="25" max="25" width="14.375" customWidth="1"/>
    <col min="26" max="26" width="16.125" customWidth="1"/>
    <col min="27" max="27" width="14.375" customWidth="1"/>
  </cols>
  <sheetData>
    <row r="1" spans="1:24" ht="30" customHeight="1" thickBot="1">
      <c r="A1" s="101" t="s">
        <v>29</v>
      </c>
      <c r="B1" s="108">
        <v>813375</v>
      </c>
      <c r="C1" s="108">
        <v>814553</v>
      </c>
      <c r="D1" s="108">
        <v>813308</v>
      </c>
      <c r="E1" s="108">
        <v>813207</v>
      </c>
      <c r="F1" s="108">
        <v>813217</v>
      </c>
      <c r="G1" s="108">
        <v>813038</v>
      </c>
      <c r="H1" s="104" t="s">
        <v>36</v>
      </c>
      <c r="I1" s="102" t="s">
        <v>107</v>
      </c>
      <c r="J1" s="102" t="s">
        <v>108</v>
      </c>
      <c r="K1" s="102" t="s">
        <v>109</v>
      </c>
      <c r="L1" s="102" t="s">
        <v>110</v>
      </c>
      <c r="M1" s="102" t="s">
        <v>39</v>
      </c>
      <c r="N1" s="107" t="s">
        <v>40</v>
      </c>
      <c r="O1" s="102" t="s">
        <v>121</v>
      </c>
      <c r="P1" s="102" t="s">
        <v>122</v>
      </c>
      <c r="Q1" s="102" t="s">
        <v>123</v>
      </c>
      <c r="R1" s="102" t="s">
        <v>114</v>
      </c>
      <c r="S1" s="102" t="s">
        <v>115</v>
      </c>
      <c r="T1" s="185"/>
      <c r="U1" s="186" t="s">
        <v>46</v>
      </c>
      <c r="V1" s="110" t="s">
        <v>47</v>
      </c>
      <c r="W1" s="110" t="s">
        <v>48</v>
      </c>
      <c r="X1" s="110" t="s">
        <v>49</v>
      </c>
    </row>
    <row r="2" spans="1:27" ht="13.5" customHeight="1">
      <c r="A2" s="111" t="s">
        <v>12</v>
      </c>
      <c r="B2" s="112">
        <v>19</v>
      </c>
      <c r="C2" s="112">
        <v>16</v>
      </c>
      <c r="D2" s="112">
        <v>5</v>
      </c>
      <c r="E2" s="112">
        <v>25</v>
      </c>
      <c r="F2" s="112">
        <v>16</v>
      </c>
      <c r="G2" s="112">
        <v>12</v>
      </c>
      <c r="H2" s="114"/>
      <c r="I2" s="112"/>
      <c r="J2" s="112"/>
      <c r="K2" s="114"/>
      <c r="L2" s="112"/>
      <c r="M2" s="114"/>
      <c r="N2" s="114"/>
      <c r="O2" s="112"/>
      <c r="P2" s="114"/>
      <c r="Q2" s="114"/>
      <c r="R2" s="112">
        <v>144</v>
      </c>
      <c r="S2" s="114"/>
      <c r="T2" s="115"/>
      <c r="U2" s="115"/>
      <c r="V2" s="115">
        <f t="shared" si="0" ref="V2:V20">SUM(B2:H2)</f>
        <v>93</v>
      </c>
      <c r="W2" s="114">
        <f t="shared" si="1" ref="W2:W20">SUM(I2:U2)</f>
        <v>144</v>
      </c>
      <c r="X2" s="114">
        <f t="shared" si="2" ref="X2:X20">W2+V2</f>
        <v>237</v>
      </c>
      <c r="Z2" s="116" t="s">
        <v>12</v>
      </c>
      <c r="AA2" s="117">
        <f t="shared" si="3" ref="AA2:AA19">X2</f>
        <v>237</v>
      </c>
    </row>
    <row r="3" spans="1:27" ht="13.5" customHeight="1">
      <c r="A3" s="111" t="s">
        <v>13</v>
      </c>
      <c r="B3" s="114"/>
      <c r="C3" s="114"/>
      <c r="D3" s="112"/>
      <c r="E3" s="112"/>
      <c r="F3" s="112"/>
      <c r="G3" s="112"/>
      <c r="H3" s="114"/>
      <c r="I3" s="114"/>
      <c r="J3" s="114"/>
      <c r="K3" s="114"/>
      <c r="L3" s="114"/>
      <c r="M3" s="114"/>
      <c r="N3" s="114"/>
      <c r="O3" s="114"/>
      <c r="P3" s="114"/>
      <c r="Q3" s="112">
        <v>144</v>
      </c>
      <c r="R3" s="114"/>
      <c r="S3" s="114"/>
      <c r="T3" s="115"/>
      <c r="U3" s="115"/>
      <c r="V3" s="115">
        <f t="shared" si="0"/>
        <v>0</v>
      </c>
      <c r="W3" s="114">
        <f t="shared" si="1"/>
        <v>144</v>
      </c>
      <c r="X3" s="114">
        <f t="shared" si="2"/>
        <v>144</v>
      </c>
      <c r="Z3" s="120" t="str">
        <f>A3</f>
        <v>נפיץ M107A3 / סרבי</v>
      </c>
      <c r="AA3" s="187">
        <f t="shared" si="3"/>
        <v>144</v>
      </c>
    </row>
    <row r="4" spans="1:27" ht="13.5" customHeight="1">
      <c r="A4" s="111" t="s">
        <v>14</v>
      </c>
      <c r="B4" s="112">
        <v>13</v>
      </c>
      <c r="C4" s="112">
        <v>13</v>
      </c>
      <c r="D4" s="112">
        <v>13</v>
      </c>
      <c r="E4" s="112">
        <v>13</v>
      </c>
      <c r="F4" s="112">
        <v>13</v>
      </c>
      <c r="G4" s="112">
        <v>13</v>
      </c>
      <c r="H4" s="114"/>
      <c r="I4" s="112">
        <v>16</v>
      </c>
      <c r="J4" s="112">
        <v>16</v>
      </c>
      <c r="K4" s="114"/>
      <c r="L4" s="112">
        <v>16</v>
      </c>
      <c r="M4" s="114"/>
      <c r="N4" s="114"/>
      <c r="O4" s="114"/>
      <c r="P4" s="114"/>
      <c r="Q4" s="114"/>
      <c r="R4" s="114"/>
      <c r="S4" s="114"/>
      <c r="T4" s="115"/>
      <c r="U4" s="115"/>
      <c r="V4" s="115">
        <f t="shared" si="0"/>
        <v>78</v>
      </c>
      <c r="W4" s="114">
        <f t="shared" si="1"/>
        <v>48</v>
      </c>
      <c r="X4" s="114">
        <f t="shared" si="2"/>
        <v>126</v>
      </c>
      <c r="Z4" s="121" t="s">
        <v>14</v>
      </c>
      <c r="AA4" s="187">
        <f t="shared" si="3"/>
        <v>126</v>
      </c>
    </row>
    <row r="5" spans="1:27" ht="13.5" customHeight="1">
      <c r="A5" s="111" t="s">
        <v>15</v>
      </c>
      <c r="B5" s="112">
        <v>8</v>
      </c>
      <c r="C5" s="112">
        <v>16</v>
      </c>
      <c r="D5" s="112">
        <v>8</v>
      </c>
      <c r="E5" s="114"/>
      <c r="F5" s="112">
        <v>8</v>
      </c>
      <c r="G5" s="112">
        <v>8</v>
      </c>
      <c r="H5" s="114"/>
      <c r="I5" s="114"/>
      <c r="J5" s="114"/>
      <c r="K5" s="112"/>
      <c r="L5" s="114"/>
      <c r="M5" s="114"/>
      <c r="N5" s="114"/>
      <c r="O5" s="114"/>
      <c r="P5" s="114"/>
      <c r="Q5" s="114"/>
      <c r="R5" s="114"/>
      <c r="S5" s="114"/>
      <c r="T5" s="115"/>
      <c r="U5" s="115"/>
      <c r="V5" s="115">
        <f t="shared" si="0"/>
        <v>48</v>
      </c>
      <c r="W5" s="114">
        <f t="shared" si="1"/>
        <v>0</v>
      </c>
      <c r="X5" s="114">
        <f t="shared" si="2"/>
        <v>48</v>
      </c>
      <c r="Z5" s="121" t="s">
        <v>15</v>
      </c>
      <c r="AA5" s="187">
        <f t="shared" si="3"/>
        <v>48</v>
      </c>
    </row>
    <row r="6" spans="1:27" ht="13.5" customHeight="1">
      <c r="A6" s="111" t="s">
        <v>16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5"/>
      <c r="U6" s="115"/>
      <c r="V6" s="115">
        <f t="shared" si="0"/>
        <v>0</v>
      </c>
      <c r="W6" s="114">
        <f t="shared" si="1"/>
        <v>0</v>
      </c>
      <c r="X6" s="114">
        <f t="shared" si="2"/>
        <v>0</v>
      </c>
      <c r="Z6" s="121" t="s">
        <v>16</v>
      </c>
      <c r="AA6" s="187">
        <f t="shared" si="3"/>
        <v>0</v>
      </c>
    </row>
    <row r="7" spans="1:27" ht="15">
      <c r="A7" s="111" t="s">
        <v>17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23"/>
      <c r="U7" s="123"/>
      <c r="V7" s="115">
        <f t="shared" si="0"/>
        <v>0</v>
      </c>
      <c r="W7" s="114">
        <f t="shared" si="1"/>
        <v>0</v>
      </c>
      <c r="X7" s="114">
        <f t="shared" si="2"/>
        <v>0</v>
      </c>
      <c r="Z7" s="121" t="s">
        <v>17</v>
      </c>
      <c r="AA7" s="187">
        <f t="shared" si="3"/>
        <v>0</v>
      </c>
    </row>
    <row r="8" spans="1:27" ht="15">
      <c r="A8" s="111" t="s">
        <v>18</v>
      </c>
      <c r="B8" s="112">
        <v>16</v>
      </c>
      <c r="C8" s="112">
        <v>16</v>
      </c>
      <c r="D8" s="112">
        <v>16</v>
      </c>
      <c r="E8" s="114"/>
      <c r="F8" s="112">
        <v>16</v>
      </c>
      <c r="G8" s="112">
        <v>16</v>
      </c>
      <c r="H8" s="114"/>
      <c r="I8" s="114"/>
      <c r="J8" s="114"/>
      <c r="K8" s="114"/>
      <c r="L8" s="114"/>
      <c r="M8" s="114"/>
      <c r="N8" s="114"/>
      <c r="O8" s="112">
        <v>64</v>
      </c>
      <c r="P8" s="114"/>
      <c r="Q8" s="114"/>
      <c r="R8" s="114"/>
      <c r="S8" s="114"/>
      <c r="T8" s="115"/>
      <c r="U8" s="115"/>
      <c r="V8" s="115">
        <f t="shared" si="0"/>
        <v>80</v>
      </c>
      <c r="W8" s="114">
        <f t="shared" si="1"/>
        <v>64</v>
      </c>
      <c r="X8" s="114">
        <f t="shared" si="2"/>
        <v>144</v>
      </c>
      <c r="Z8" s="121" t="s">
        <v>18</v>
      </c>
      <c r="AA8" s="187">
        <f t="shared" si="3"/>
        <v>144</v>
      </c>
    </row>
    <row r="9" spans="1:27" ht="15">
      <c r="A9" s="111" t="s">
        <v>19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5"/>
      <c r="U9" s="115"/>
      <c r="V9" s="115">
        <f t="shared" si="0"/>
        <v>0</v>
      </c>
      <c r="W9" s="114">
        <f t="shared" si="1"/>
        <v>0</v>
      </c>
      <c r="X9" s="114">
        <f t="shared" si="2"/>
        <v>0</v>
      </c>
      <c r="Z9" s="121" t="s">
        <v>19</v>
      </c>
      <c r="AA9" s="187">
        <f t="shared" si="3"/>
        <v>0</v>
      </c>
    </row>
    <row r="10" spans="1:27" ht="15">
      <c r="A10" s="124" t="s">
        <v>20</v>
      </c>
      <c r="V10" s="115">
        <f t="shared" si="0"/>
        <v>0</v>
      </c>
      <c r="W10" s="114">
        <f t="shared" si="1"/>
        <v>0</v>
      </c>
      <c r="X10" s="114">
        <f t="shared" si="2"/>
        <v>0</v>
      </c>
      <c r="Z10" s="126" t="s">
        <v>20</v>
      </c>
      <c r="AA10" s="187">
        <f t="shared" si="3"/>
        <v>0</v>
      </c>
    </row>
    <row r="11" spans="1:27" ht="15">
      <c r="A11" s="127">
        <v>582</v>
      </c>
      <c r="B11" s="112">
        <v>31</v>
      </c>
      <c r="C11" s="112">
        <v>19</v>
      </c>
      <c r="D11" s="112">
        <v>14</v>
      </c>
      <c r="E11" s="112">
        <v>24</v>
      </c>
      <c r="F11" s="112">
        <v>24</v>
      </c>
      <c r="G11" s="112">
        <v>5</v>
      </c>
      <c r="H11" s="114"/>
      <c r="I11" s="112">
        <v>24</v>
      </c>
      <c r="J11" s="112">
        <v>24</v>
      </c>
      <c r="K11" s="114"/>
      <c r="L11" s="112">
        <v>32</v>
      </c>
      <c r="M11" s="114"/>
      <c r="N11" s="114"/>
      <c r="O11" s="114"/>
      <c r="P11" s="114"/>
      <c r="Q11" s="114"/>
      <c r="R11" s="114"/>
      <c r="S11" s="114"/>
      <c r="T11" s="115"/>
      <c r="U11" s="115"/>
      <c r="V11" s="115">
        <f t="shared" si="0"/>
        <v>117</v>
      </c>
      <c r="W11" s="114">
        <f t="shared" si="1"/>
        <v>80</v>
      </c>
      <c r="X11" s="114">
        <f t="shared" si="2"/>
        <v>197</v>
      </c>
      <c r="Z11" s="128">
        <v>582</v>
      </c>
      <c r="AA11" s="187">
        <f t="shared" si="3"/>
        <v>197</v>
      </c>
    </row>
    <row r="12" spans="1:27" ht="14.25" customHeight="1">
      <c r="A12" s="127">
        <v>739</v>
      </c>
      <c r="B12" s="112">
        <v>11</v>
      </c>
      <c r="C12" s="112">
        <v>0</v>
      </c>
      <c r="D12" s="112">
        <v>0</v>
      </c>
      <c r="E12" s="112">
        <v>8</v>
      </c>
      <c r="F12" s="112">
        <v>12</v>
      </c>
      <c r="G12" s="112">
        <v>0</v>
      </c>
      <c r="H12" s="114"/>
      <c r="I12" s="112"/>
      <c r="J12" s="112"/>
      <c r="K12" s="112"/>
      <c r="L12" s="112"/>
      <c r="M12" s="114"/>
      <c r="N12" s="114"/>
      <c r="O12" s="114"/>
      <c r="P12" s="114"/>
      <c r="Q12" s="114"/>
      <c r="R12" s="114"/>
      <c r="S12" s="114"/>
      <c r="T12" s="115"/>
      <c r="U12" s="115"/>
      <c r="V12" s="115">
        <f t="shared" si="0"/>
        <v>31</v>
      </c>
      <c r="W12" s="114">
        <f t="shared" si="1"/>
        <v>0</v>
      </c>
      <c r="X12" s="114">
        <f t="shared" si="2"/>
        <v>31</v>
      </c>
      <c r="Z12" s="128">
        <v>739</v>
      </c>
      <c r="AA12" s="187">
        <f t="shared" si="3"/>
        <v>31</v>
      </c>
    </row>
    <row r="13" spans="1:27" ht="15">
      <c r="A13" s="127">
        <v>137</v>
      </c>
      <c r="B13" s="112">
        <v>13</v>
      </c>
      <c r="C13" s="112">
        <v>8</v>
      </c>
      <c r="D13" s="112">
        <v>8</v>
      </c>
      <c r="E13" s="112">
        <v>8</v>
      </c>
      <c r="F13" s="112">
        <v>8</v>
      </c>
      <c r="G13" s="112">
        <v>8</v>
      </c>
      <c r="H13" s="114"/>
      <c r="I13" s="112">
        <v>32</v>
      </c>
      <c r="J13" s="112">
        <v>24</v>
      </c>
      <c r="K13" s="114"/>
      <c r="L13" s="112">
        <v>32</v>
      </c>
      <c r="M13" s="114"/>
      <c r="N13" s="114"/>
      <c r="O13" s="114"/>
      <c r="P13" s="114"/>
      <c r="Q13" s="114"/>
      <c r="R13" s="114"/>
      <c r="S13" s="114"/>
      <c r="T13" s="115"/>
      <c r="U13" s="115"/>
      <c r="V13" s="115">
        <f t="shared" si="0"/>
        <v>53</v>
      </c>
      <c r="W13" s="114">
        <f t="shared" si="1"/>
        <v>88</v>
      </c>
      <c r="X13" s="114">
        <f t="shared" si="2"/>
        <v>141</v>
      </c>
      <c r="Z13" s="128">
        <v>137</v>
      </c>
      <c r="AA13" s="187">
        <f t="shared" si="3"/>
        <v>141</v>
      </c>
    </row>
    <row r="14" spans="1:27" ht="15">
      <c r="A14" s="127">
        <v>762</v>
      </c>
      <c r="B14" s="129">
        <v>8</v>
      </c>
      <c r="C14" s="129">
        <v>16</v>
      </c>
      <c r="D14" s="129">
        <v>16</v>
      </c>
      <c r="E14" s="131"/>
      <c r="F14" s="129">
        <v>16</v>
      </c>
      <c r="G14" s="129">
        <v>16</v>
      </c>
      <c r="H14" s="131"/>
      <c r="I14" s="131"/>
      <c r="J14" s="131"/>
      <c r="K14" s="131"/>
      <c r="L14" s="131"/>
      <c r="M14" s="131"/>
      <c r="N14" s="131"/>
      <c r="O14" s="129">
        <v>72</v>
      </c>
      <c r="P14" s="131"/>
      <c r="Q14" s="131"/>
      <c r="R14" s="131"/>
      <c r="S14" s="131"/>
      <c r="T14" s="132"/>
      <c r="U14" s="132"/>
      <c r="V14" s="115">
        <f t="shared" si="0"/>
        <v>72</v>
      </c>
      <c r="W14" s="114">
        <f t="shared" si="1"/>
        <v>72</v>
      </c>
      <c r="X14" s="114">
        <f t="shared" si="2"/>
        <v>144</v>
      </c>
      <c r="Z14" s="128">
        <v>762</v>
      </c>
      <c r="AA14" s="187">
        <f t="shared" si="3"/>
        <v>144</v>
      </c>
    </row>
    <row r="15" spans="1:27" ht="15">
      <c r="A15" s="127">
        <v>147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2"/>
      <c r="U15" s="132"/>
      <c r="V15" s="115">
        <f t="shared" si="0"/>
        <v>0</v>
      </c>
      <c r="W15" s="114">
        <f t="shared" si="1"/>
        <v>0</v>
      </c>
      <c r="X15" s="114">
        <f t="shared" si="2"/>
        <v>0</v>
      </c>
      <c r="Z15" s="128">
        <v>147</v>
      </c>
      <c r="AA15" s="187">
        <f t="shared" si="3"/>
        <v>0</v>
      </c>
    </row>
    <row r="16" spans="1:27" ht="15">
      <c r="A16" s="18" t="s">
        <v>21</v>
      </c>
      <c r="Q16" s="124">
        <v>144</v>
      </c>
      <c r="V16" s="115">
        <f t="shared" si="0"/>
        <v>0</v>
      </c>
      <c r="W16" s="114">
        <f t="shared" si="1"/>
        <v>144</v>
      </c>
      <c r="X16" s="114">
        <f t="shared" si="2"/>
        <v>144</v>
      </c>
      <c r="Z16" s="18" t="s">
        <v>21</v>
      </c>
      <c r="AA16" s="187">
        <f t="shared" si="3"/>
        <v>144</v>
      </c>
    </row>
    <row r="17" spans="1:27" ht="15">
      <c r="A17" s="133" t="s">
        <v>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23"/>
      <c r="U17" s="123"/>
      <c r="V17" s="115">
        <f t="shared" si="0"/>
        <v>0</v>
      </c>
      <c r="W17" s="114">
        <f t="shared" si="1"/>
        <v>0</v>
      </c>
      <c r="X17" s="114">
        <f t="shared" si="2"/>
        <v>0</v>
      </c>
      <c r="Z17" s="133" t="s">
        <v>22</v>
      </c>
      <c r="AA17" s="187">
        <f t="shared" si="3"/>
        <v>0</v>
      </c>
    </row>
    <row r="18" spans="1:27" ht="15">
      <c r="A18" s="133" t="s">
        <v>77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23"/>
      <c r="U18" s="123"/>
      <c r="V18" s="115">
        <f t="shared" si="0"/>
        <v>0</v>
      </c>
      <c r="W18" s="114">
        <f t="shared" si="1"/>
        <v>0</v>
      </c>
      <c r="X18" s="114">
        <f t="shared" si="2"/>
        <v>0</v>
      </c>
      <c r="Z18" s="134">
        <v>984</v>
      </c>
      <c r="AA18" s="187">
        <f t="shared" si="3"/>
        <v>0</v>
      </c>
    </row>
    <row r="19" spans="1:27" ht="15">
      <c r="A19" s="189">
        <v>984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35">
        <v>144</v>
      </c>
      <c r="S19" s="5"/>
      <c r="T19" s="5"/>
      <c r="U19" s="5"/>
      <c r="V19" s="115">
        <f t="shared" si="0"/>
        <v>0</v>
      </c>
      <c r="W19" s="114">
        <f t="shared" si="1"/>
        <v>144</v>
      </c>
      <c r="X19" s="114">
        <f t="shared" si="2"/>
        <v>144</v>
      </c>
      <c r="Z19" s="124">
        <v>557</v>
      </c>
      <c r="AA19" s="187">
        <f t="shared" si="3"/>
        <v>144</v>
      </c>
    </row>
    <row r="20" spans="1:27" ht="15">
      <c r="A20" s="124">
        <v>557</v>
      </c>
      <c r="V20" s="115">
        <f t="shared" si="0"/>
        <v>0</v>
      </c>
      <c r="W20" s="114">
        <f t="shared" si="1"/>
        <v>0</v>
      </c>
      <c r="X20" s="114">
        <f t="shared" si="2"/>
        <v>0</v>
      </c>
      <c r="Z20" s="139" t="s">
        <v>23</v>
      </c>
      <c r="AA20" s="187">
        <f>SUM(X22:X32)</f>
        <v>142</v>
      </c>
    </row>
    <row r="21" spans="1:27" ht="15">
      <c r="A21" s="137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Z21" s="139" t="s">
        <v>24</v>
      </c>
      <c r="AA21" s="187">
        <f>SUM(X33:X35)</f>
        <v>252</v>
      </c>
    </row>
    <row r="22" spans="1:27" ht="15">
      <c r="A22" s="196" t="s">
        <v>50</v>
      </c>
      <c r="B22" s="142">
        <v>15</v>
      </c>
      <c r="C22" s="142">
        <v>11</v>
      </c>
      <c r="D22" s="142">
        <v>4</v>
      </c>
      <c r="E22" s="142">
        <v>16</v>
      </c>
      <c r="F22" s="142">
        <v>8</v>
      </c>
      <c r="G22" s="142">
        <v>2</v>
      </c>
      <c r="H22" s="141"/>
      <c r="I22" s="141"/>
      <c r="J22" s="141"/>
      <c r="K22" s="191"/>
      <c r="L22" s="191"/>
      <c r="M22" s="143"/>
      <c r="N22" s="143"/>
      <c r="O22" s="143"/>
      <c r="P22" s="142"/>
      <c r="Q22" s="141"/>
      <c r="R22" s="141"/>
      <c r="S22" s="141"/>
      <c r="T22" s="144"/>
      <c r="U22" s="144"/>
      <c r="V22" s="115">
        <f t="shared" si="4" ref="V22:V35">SUM(B22:H22)</f>
        <v>56</v>
      </c>
      <c r="W22" s="114">
        <f t="shared" si="5" ref="W22:W35">SUM(I22:U22)</f>
        <v>0</v>
      </c>
      <c r="X22" s="114">
        <f t="shared" si="6" ref="X22:X35">W22+V22</f>
        <v>56</v>
      </c>
      <c r="Z22" s="139" t="s">
        <v>95</v>
      </c>
      <c r="AA22" s="187">
        <f>SUM(X37:X45)</f>
        <v>207</v>
      </c>
    </row>
    <row r="23" spans="1:27" ht="12.75" customHeight="1">
      <c r="A23" s="145" t="s">
        <v>51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4"/>
      <c r="U23" s="144"/>
      <c r="V23" s="115">
        <f t="shared" si="4"/>
        <v>0</v>
      </c>
      <c r="W23" s="114">
        <f t="shared" si="5"/>
        <v>0</v>
      </c>
      <c r="X23" s="114">
        <f t="shared" si="6"/>
        <v>0</v>
      </c>
      <c r="Z23" s="139" t="s">
        <v>26</v>
      </c>
      <c r="AA23" s="187">
        <f t="shared" si="7" ref="AA23:AA25">X47</f>
        <v>0</v>
      </c>
    </row>
    <row r="24" spans="1:27" ht="12.75" customHeight="1">
      <c r="A24" s="145" t="s">
        <v>96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15">
        <f t="shared" si="4"/>
        <v>0</v>
      </c>
      <c r="W24" s="114">
        <f t="shared" si="5"/>
        <v>0</v>
      </c>
      <c r="X24" s="114">
        <f t="shared" si="6"/>
        <v>0</v>
      </c>
      <c r="Z24" s="139" t="s">
        <v>27</v>
      </c>
      <c r="AA24" s="187">
        <f t="shared" si="7"/>
        <v>284</v>
      </c>
    </row>
    <row r="25" spans="1:27" ht="12.75" customHeight="1" thickBot="1">
      <c r="A25" s="145" t="s">
        <v>54</v>
      </c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15">
        <f t="shared" si="4"/>
        <v>0</v>
      </c>
      <c r="W25" s="114">
        <f t="shared" si="5"/>
        <v>0</v>
      </c>
      <c r="X25" s="114">
        <f t="shared" si="6"/>
        <v>0</v>
      </c>
      <c r="Z25" s="146" t="s">
        <v>28</v>
      </c>
      <c r="AA25" s="192">
        <f t="shared" si="7"/>
        <v>855</v>
      </c>
    </row>
    <row r="26" spans="1:24" ht="12.75" customHeight="1">
      <c r="A26" s="145" t="s">
        <v>55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3"/>
      <c r="O26" s="141"/>
      <c r="P26" s="141"/>
      <c r="Q26" s="141"/>
      <c r="R26" s="141"/>
      <c r="S26" s="141"/>
      <c r="T26" s="141"/>
      <c r="U26" s="141"/>
      <c r="V26" s="115">
        <f t="shared" si="4"/>
        <v>0</v>
      </c>
      <c r="W26" s="114">
        <f t="shared" si="5"/>
        <v>0</v>
      </c>
      <c r="X26" s="114">
        <f t="shared" si="6"/>
        <v>0</v>
      </c>
    </row>
    <row r="27" spans="1:24" ht="12.75" customHeight="1">
      <c r="A27" s="147" t="s">
        <v>50</v>
      </c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15">
        <f t="shared" si="4"/>
        <v>0</v>
      </c>
      <c r="W27" s="114">
        <f t="shared" si="5"/>
        <v>0</v>
      </c>
      <c r="X27" s="114">
        <f t="shared" si="6"/>
        <v>0</v>
      </c>
    </row>
    <row r="28" spans="1:24" ht="12.75" customHeight="1">
      <c r="A28" s="147" t="s">
        <v>56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15">
        <f t="shared" si="4"/>
        <v>0</v>
      </c>
      <c r="W28" s="114">
        <f t="shared" si="5"/>
        <v>0</v>
      </c>
      <c r="X28" s="114">
        <f t="shared" si="6"/>
        <v>0</v>
      </c>
    </row>
    <row r="29" spans="1:24" ht="12.75" customHeight="1">
      <c r="A29" s="147" t="s">
        <v>57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15">
        <f t="shared" si="4"/>
        <v>0</v>
      </c>
      <c r="W29" s="114">
        <f t="shared" si="5"/>
        <v>0</v>
      </c>
      <c r="X29" s="114">
        <f t="shared" si="6"/>
        <v>0</v>
      </c>
    </row>
    <row r="30" spans="1:24" ht="12.75" customHeight="1">
      <c r="A30" s="148" t="s">
        <v>50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15">
        <f t="shared" si="4"/>
        <v>0</v>
      </c>
      <c r="W30" s="114">
        <f t="shared" si="5"/>
        <v>0</v>
      </c>
      <c r="X30" s="114">
        <f t="shared" si="6"/>
        <v>0</v>
      </c>
    </row>
    <row r="31" spans="1:24" ht="13.5" customHeight="1">
      <c r="A31" s="149" t="s">
        <v>98</v>
      </c>
      <c r="B31" s="142">
        <v>8</v>
      </c>
      <c r="C31" s="142">
        <v>12</v>
      </c>
      <c r="D31" s="142">
        <v>12</v>
      </c>
      <c r="E31" s="142">
        <v>12</v>
      </c>
      <c r="F31" s="142">
        <v>6</v>
      </c>
      <c r="G31" s="142">
        <v>12</v>
      </c>
      <c r="H31" s="141"/>
      <c r="I31" s="142"/>
      <c r="J31" s="142">
        <v>24</v>
      </c>
      <c r="K31" s="142"/>
      <c r="L31" s="142"/>
      <c r="M31" s="141"/>
      <c r="N31" s="141"/>
      <c r="O31" s="142"/>
      <c r="P31" s="141"/>
      <c r="Q31" s="141"/>
      <c r="R31" s="141"/>
      <c r="S31" s="141"/>
      <c r="T31" s="141"/>
      <c r="U31" s="141"/>
      <c r="V31" s="115">
        <f t="shared" si="4"/>
        <v>62</v>
      </c>
      <c r="W31" s="114">
        <f t="shared" si="5"/>
        <v>24</v>
      </c>
      <c r="X31" s="114">
        <f t="shared" si="6"/>
        <v>86</v>
      </c>
    </row>
    <row r="32" spans="1:24" ht="13.5" customHeight="1">
      <c r="A32" s="150" t="s">
        <v>99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4"/>
      <c r="V32" s="115">
        <f t="shared" si="4"/>
        <v>0</v>
      </c>
      <c r="W32" s="114">
        <f t="shared" si="5"/>
        <v>0</v>
      </c>
      <c r="X32" s="114">
        <f t="shared" si="6"/>
        <v>0</v>
      </c>
    </row>
    <row r="33" spans="1:24" ht="13.5" customHeight="1">
      <c r="A33" s="151" t="s">
        <v>100</v>
      </c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4"/>
      <c r="V33" s="115">
        <f t="shared" si="4"/>
        <v>0</v>
      </c>
      <c r="W33" s="114">
        <f t="shared" si="5"/>
        <v>0</v>
      </c>
      <c r="X33" s="114">
        <f t="shared" si="6"/>
        <v>0</v>
      </c>
    </row>
    <row r="34" spans="1:24" ht="13.5" customHeight="1">
      <c r="A34" s="147" t="s">
        <v>63</v>
      </c>
      <c r="B34" s="153"/>
      <c r="C34" s="153"/>
      <c r="D34" s="141"/>
      <c r="E34" s="153"/>
      <c r="F34" s="153"/>
      <c r="G34" s="153"/>
      <c r="H34" s="153"/>
      <c r="I34" s="141"/>
      <c r="J34" s="141"/>
      <c r="K34" s="141"/>
      <c r="L34" s="141"/>
      <c r="M34" s="141"/>
      <c r="N34" s="141"/>
      <c r="O34" s="141"/>
      <c r="P34" s="141"/>
      <c r="Q34" s="141"/>
      <c r="R34" s="142">
        <v>144</v>
      </c>
      <c r="S34" s="141"/>
      <c r="T34" s="141"/>
      <c r="U34" s="154"/>
      <c r="V34" s="115">
        <f t="shared" si="4"/>
        <v>0</v>
      </c>
      <c r="W34" s="114">
        <f t="shared" si="5"/>
        <v>144</v>
      </c>
      <c r="X34" s="114">
        <f t="shared" si="6"/>
        <v>144</v>
      </c>
    </row>
    <row r="35" spans="1:24" ht="13.5" customHeight="1">
      <c r="A35" s="147" t="s">
        <v>64</v>
      </c>
      <c r="B35" s="153"/>
      <c r="C35" s="153"/>
      <c r="D35" s="153"/>
      <c r="E35" s="153"/>
      <c r="F35" s="153"/>
      <c r="G35" s="153"/>
      <c r="H35" s="153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2">
        <v>108</v>
      </c>
      <c r="T35" s="141"/>
      <c r="U35" s="144"/>
      <c r="V35" s="115">
        <f t="shared" si="4"/>
        <v>0</v>
      </c>
      <c r="W35" s="114">
        <f t="shared" si="5"/>
        <v>108</v>
      </c>
      <c r="X35" s="114">
        <f t="shared" si="6"/>
        <v>108</v>
      </c>
    </row>
    <row r="36" spans="1:24" ht="13.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58"/>
      <c r="U36" s="158"/>
      <c r="V36" s="137"/>
      <c r="W36" s="137"/>
      <c r="X36" s="137"/>
    </row>
    <row r="37" spans="1:24" ht="15.75" customHeight="1">
      <c r="A37" s="159" t="s">
        <v>103</v>
      </c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2"/>
      <c r="U37" s="162"/>
      <c r="V37" s="115">
        <f t="shared" si="8" ref="V37:V45">SUM(B37:H37)</f>
        <v>0</v>
      </c>
      <c r="W37" s="114">
        <f t="shared" si="9" ref="W37:W45">SUM(I37:U37)</f>
        <v>0</v>
      </c>
      <c r="X37" s="114">
        <f t="shared" si="10" ref="X37:X45">W37+V37</f>
        <v>0</v>
      </c>
    </row>
    <row r="38" spans="1:24" ht="15.75" customHeight="1">
      <c r="A38" s="163" t="s">
        <v>66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64"/>
      <c r="U38" s="164"/>
      <c r="V38" s="115">
        <f t="shared" si="8"/>
        <v>0</v>
      </c>
      <c r="W38" s="114">
        <f t="shared" si="9"/>
        <v>0</v>
      </c>
      <c r="X38" s="114">
        <f t="shared" si="10"/>
        <v>0</v>
      </c>
    </row>
    <row r="39" spans="1:24" ht="15.75" customHeight="1">
      <c r="A39" s="163" t="s">
        <v>67</v>
      </c>
      <c r="B39" s="114"/>
      <c r="C39" s="114"/>
      <c r="D39" s="114"/>
      <c r="E39" s="160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65"/>
      <c r="U39" s="165"/>
      <c r="V39" s="115">
        <f t="shared" si="8"/>
        <v>0</v>
      </c>
      <c r="W39" s="114">
        <f t="shared" si="9"/>
        <v>0</v>
      </c>
      <c r="X39" s="114">
        <f t="shared" si="10"/>
        <v>0</v>
      </c>
    </row>
    <row r="40" spans="1:24" ht="15.75" customHeight="1">
      <c r="A40" s="163" t="s">
        <v>68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64"/>
      <c r="U40" s="164"/>
      <c r="V40" s="115">
        <f t="shared" si="8"/>
        <v>0</v>
      </c>
      <c r="W40" s="114">
        <f t="shared" si="9"/>
        <v>0</v>
      </c>
      <c r="X40" s="114">
        <f t="shared" si="10"/>
        <v>0</v>
      </c>
    </row>
    <row r="41" spans="1:24" ht="15.75" customHeight="1">
      <c r="A41" s="163" t="s">
        <v>69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2"/>
      <c r="Q41" s="112"/>
      <c r="R41" s="112"/>
      <c r="S41" s="112"/>
      <c r="T41" s="165"/>
      <c r="U41" s="165"/>
      <c r="V41" s="115">
        <f t="shared" si="8"/>
        <v>0</v>
      </c>
      <c r="W41" s="114">
        <f t="shared" si="9"/>
        <v>0</v>
      </c>
      <c r="X41" s="114">
        <f t="shared" si="10"/>
        <v>0</v>
      </c>
    </row>
    <row r="42" spans="1:24" ht="15.75" customHeight="1">
      <c r="A42" s="166" t="s">
        <v>124</v>
      </c>
      <c r="B42" s="112">
        <v>16</v>
      </c>
      <c r="C42" s="112">
        <v>16</v>
      </c>
      <c r="D42" s="112">
        <v>12</v>
      </c>
      <c r="E42" s="112">
        <v>16</v>
      </c>
      <c r="F42" s="112">
        <v>16</v>
      </c>
      <c r="G42" s="112">
        <v>16</v>
      </c>
      <c r="H42" s="114"/>
      <c r="I42" s="114"/>
      <c r="J42" s="114"/>
      <c r="K42" s="114"/>
      <c r="L42" s="114"/>
      <c r="M42" s="114"/>
      <c r="N42" s="114"/>
      <c r="O42" s="114"/>
      <c r="P42" s="112">
        <v>20</v>
      </c>
      <c r="Q42" s="114"/>
      <c r="R42" s="114"/>
      <c r="S42" s="114"/>
      <c r="T42" s="164"/>
      <c r="U42" s="164"/>
      <c r="V42" s="115">
        <f t="shared" si="8"/>
        <v>92</v>
      </c>
      <c r="W42" s="114">
        <f t="shared" si="9"/>
        <v>20</v>
      </c>
      <c r="X42" s="114">
        <f t="shared" si="10"/>
        <v>112</v>
      </c>
    </row>
    <row r="43" spans="1:24" ht="13.5" customHeight="1">
      <c r="A43" s="163" t="s">
        <v>70</v>
      </c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65"/>
      <c r="U43" s="165"/>
      <c r="V43" s="115">
        <f t="shared" si="8"/>
        <v>0</v>
      </c>
      <c r="W43" s="114">
        <f t="shared" si="9"/>
        <v>0</v>
      </c>
      <c r="X43" s="114">
        <f t="shared" si="10"/>
        <v>0</v>
      </c>
    </row>
    <row r="44" spans="1:24" ht="13.5" customHeight="1">
      <c r="A44" s="163" t="s">
        <v>71</v>
      </c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2">
        <v>95</v>
      </c>
      <c r="Q44" s="114"/>
      <c r="R44" s="114"/>
      <c r="S44" s="114"/>
      <c r="T44" s="165"/>
      <c r="U44" s="165"/>
      <c r="V44" s="115">
        <f t="shared" si="8"/>
        <v>0</v>
      </c>
      <c r="W44" s="114">
        <f t="shared" si="9"/>
        <v>95</v>
      </c>
      <c r="X44" s="114">
        <f t="shared" si="10"/>
        <v>95</v>
      </c>
    </row>
    <row r="45" spans="1:24" ht="13.5" customHeight="1">
      <c r="A45" s="163" t="s">
        <v>75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65"/>
      <c r="U45" s="165"/>
      <c r="V45" s="115">
        <f t="shared" si="8"/>
        <v>0</v>
      </c>
      <c r="W45" s="114">
        <f t="shared" si="9"/>
        <v>0</v>
      </c>
      <c r="X45" s="114">
        <f t="shared" si="10"/>
        <v>0</v>
      </c>
    </row>
    <row r="46" spans="1:24" ht="13.5" customHeight="1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8"/>
      <c r="U46" s="168"/>
      <c r="V46" s="167"/>
      <c r="W46" s="167"/>
      <c r="X46" s="167"/>
    </row>
    <row r="47" spans="1:24" ht="13.5" customHeight="1">
      <c r="A47" s="141" t="s">
        <v>26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65"/>
      <c r="U47" s="165"/>
      <c r="V47" s="115">
        <f t="shared" si="11" ref="V47:V49">SUM(B47:H47)</f>
        <v>0</v>
      </c>
      <c r="W47" s="114">
        <f t="shared" si="12" ref="W47:W49">SUM(I47:U47)</f>
        <v>0</v>
      </c>
      <c r="X47" s="114">
        <f t="shared" si="13" ref="X47:X49">W47+V47</f>
        <v>0</v>
      </c>
    </row>
    <row r="48" spans="1:24" ht="13.5" customHeight="1">
      <c r="A48" s="169" t="s">
        <v>106</v>
      </c>
      <c r="C48" s="124">
        <v>24</v>
      </c>
      <c r="G48" s="124">
        <v>20</v>
      </c>
      <c r="Q48" s="124">
        <v>240</v>
      </c>
      <c r="V48" s="115">
        <f t="shared" si="11"/>
        <v>44</v>
      </c>
      <c r="W48" s="114">
        <f t="shared" si="12"/>
        <v>240</v>
      </c>
      <c r="X48" s="114">
        <f t="shared" si="13"/>
        <v>284</v>
      </c>
    </row>
    <row r="49" spans="1:24" ht="13.5" customHeight="1">
      <c r="A49" s="170" t="s">
        <v>28</v>
      </c>
      <c r="B49" s="173">
        <v>60</v>
      </c>
      <c r="C49" s="173">
        <v>31</v>
      </c>
      <c r="D49" s="173">
        <v>180</v>
      </c>
      <c r="E49" s="171"/>
      <c r="F49" s="173">
        <v>32</v>
      </c>
      <c r="G49" s="173">
        <v>30</v>
      </c>
      <c r="H49" s="171"/>
      <c r="I49" s="173">
        <v>84</v>
      </c>
      <c r="J49" s="171"/>
      <c r="K49" s="171"/>
      <c r="L49" s="174">
        <v>118</v>
      </c>
      <c r="M49" s="171"/>
      <c r="N49" s="171"/>
      <c r="O49" s="173"/>
      <c r="P49" s="171"/>
      <c r="Q49" s="173">
        <v>160</v>
      </c>
      <c r="R49" s="173">
        <v>160</v>
      </c>
      <c r="S49" s="171"/>
      <c r="T49" s="176"/>
      <c r="U49" s="176"/>
      <c r="V49" s="115">
        <f t="shared" si="11"/>
        <v>333</v>
      </c>
      <c r="W49" s="114">
        <f t="shared" si="12"/>
        <v>522</v>
      </c>
      <c r="X49" s="114">
        <f t="shared" si="13"/>
        <v>855</v>
      </c>
    </row>
    <row r="50" spans="1:24" ht="13.5" customHeight="1">
      <c r="A50" s="101" t="s">
        <v>76</v>
      </c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</row>
    <row r="51" spans="1:24" ht="13.5" customHeight="1">
      <c r="A51" s="178" t="s">
        <v>78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2"/>
      <c r="U51" s="132"/>
      <c r="V51" s="115">
        <f t="shared" si="14" ref="V51:V54">SUM(B51:F51)</f>
        <v>0</v>
      </c>
      <c r="W51" s="114">
        <f t="shared" si="15" ref="W51:W54">SUM(G51:U51)</f>
        <v>0</v>
      </c>
      <c r="X51" s="114">
        <f t="shared" si="16" ref="X51:X54">W51+V51</f>
        <v>0</v>
      </c>
    </row>
    <row r="52" spans="1:24" ht="13.5" customHeight="1">
      <c r="A52" s="178" t="s">
        <v>79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2"/>
      <c r="U52" s="132"/>
      <c r="V52" s="115">
        <f t="shared" si="14"/>
        <v>0</v>
      </c>
      <c r="W52" s="114">
        <f t="shared" si="15"/>
        <v>0</v>
      </c>
      <c r="X52" s="114">
        <f t="shared" si="16"/>
        <v>0</v>
      </c>
    </row>
    <row r="53" spans="1:24" ht="13.5" customHeight="1">
      <c r="A53" s="179" t="s">
        <v>80</v>
      </c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2"/>
      <c r="U53" s="182"/>
      <c r="V53" s="115">
        <f t="shared" si="14"/>
        <v>0</v>
      </c>
      <c r="W53" s="114">
        <f t="shared" si="15"/>
        <v>0</v>
      </c>
      <c r="X53" s="114">
        <f t="shared" si="16"/>
        <v>0</v>
      </c>
    </row>
    <row r="54" spans="1:24" ht="13.5" customHeight="1">
      <c r="A54" s="170" t="s">
        <v>28</v>
      </c>
      <c r="B54" s="129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2"/>
      <c r="U54" s="132"/>
      <c r="V54" s="115">
        <f t="shared" si="14"/>
        <v>0</v>
      </c>
      <c r="W54" s="114">
        <f t="shared" si="15"/>
        <v>0</v>
      </c>
      <c r="X54" s="114">
        <f t="shared" si="16"/>
        <v>0</v>
      </c>
    </row>
    <row r="55" spans="1:24" ht="13.5" customHeight="1">
      <c r="A55" s="101" t="s">
        <v>81</v>
      </c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</row>
    <row r="56" spans="1:24" ht="13.5" customHeight="1">
      <c r="A56" s="184" t="s">
        <v>82</v>
      </c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2"/>
      <c r="U56" s="132"/>
      <c r="V56" s="115">
        <f t="shared" si="17" ref="V56:V57">SUM(B56:F56)</f>
        <v>0</v>
      </c>
      <c r="W56" s="114">
        <f t="shared" si="18" ref="W56:W57">SUM(G56:U56)</f>
        <v>0</v>
      </c>
      <c r="X56" s="114">
        <f t="shared" si="19" ref="X56:X57">W56+V56</f>
        <v>0</v>
      </c>
    </row>
    <row r="57" spans="1:24" ht="13.5" customHeight="1">
      <c r="A57" s="184" t="s">
        <v>83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2"/>
      <c r="U57" s="132"/>
      <c r="V57" s="115">
        <f t="shared" si="17"/>
        <v>0</v>
      </c>
      <c r="W57" s="114">
        <f t="shared" si="18"/>
        <v>0</v>
      </c>
      <c r="X57" s="114">
        <f t="shared" si="19"/>
        <v>0</v>
      </c>
    </row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conditionalFormatting sqref="B47:U53 A49:A53">
    <cfRule type="cellIs" priority="1" dxfId="0" operator="lessThan">
      <formula>0</formula>
    </cfRule>
  </conditionalFormatting>
  <conditionalFormatting sqref="B54:U54">
    <cfRule type="cellIs" priority="2" dxfId="3" operator="lessThan">
      <formula>0</formula>
    </cfRule>
  </conditionalFormatting>
  <conditionalFormatting sqref="V2:X57">
    <cfRule type="cellIs" priority="3" dxfId="1" operator="lessThanOrEqual">
      <formula>97</formula>
    </cfRule>
  </conditionalFormatting>
  <conditionalFormatting sqref="V2:X57">
    <cfRule type="cellIs" priority="4" dxfId="2" operator="greaterThan">
      <formula>97</formula>
    </cfRule>
  </conditionalFormatting>
  <conditionalFormatting sqref="B49 H49:J49">
    <cfRule type="cellIs" priority="5" dxfId="0" operator="lessThan">
      <formula>SUM($I$4:$I$6)</formula>
    </cfRule>
  </conditionalFormatting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600-000000000000}">
  <sheetPr>
    <outlinePr summaryBelow="0" summaryRight="0"/>
  </sheetPr>
  <dimension ref="F1:R28"/>
  <sheetViews>
    <sheetView workbookViewId="0" topLeftCell="A1"/>
  </sheetViews>
  <sheetFormatPr defaultColWidth="12.635" defaultRowHeight="15" customHeight="1"/>
  <sheetData>
    <row r="1" spans="18:18" ht="15">
      <c r="R1" s="197"/>
    </row>
    <row r="27" spans="6:6" ht="15">
      <c r="F27" s="169" t="s">
        <v>125</v>
      </c>
    </row>
    <row r="28" spans="7:7" ht="15">
      <c r="G28" s="169" t="s">
        <v>126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700-000000000000}">
  <dimension ref="A1:AC93"/>
  <sheetViews>
    <sheetView rightToLeft="1" workbookViewId="0" topLeftCell="A1"/>
  </sheetViews>
  <sheetFormatPr defaultColWidth="12.635" defaultRowHeight="15" customHeight="1"/>
  <cols>
    <col min="1" max="1" width="8.625" customWidth="1"/>
    <col min="2" max="2" width="16.125" customWidth="1"/>
    <col min="3" max="3" width="8.5" customWidth="1"/>
    <col min="4" max="5" width="8.625" customWidth="1"/>
    <col min="6" max="6" width="12.5" hidden="1" customWidth="1"/>
    <col min="7" max="7" width="4.75" customWidth="1"/>
    <col min="8" max="8" width="8.625" customWidth="1"/>
    <col min="9" max="9" width="24.875" customWidth="1"/>
    <col min="10" max="10" width="8.625" customWidth="1"/>
    <col min="11" max="11" width="16.5" customWidth="1"/>
    <col min="12" max="12" width="8.625" customWidth="1"/>
    <col min="13" max="13" width="10" customWidth="1"/>
    <col min="14" max="14" width="16.625" customWidth="1"/>
    <col min="15" max="16" width="8.625" customWidth="1"/>
    <col min="17" max="19" width="16.5" customWidth="1"/>
    <col min="20" max="20" width="17.625" customWidth="1"/>
    <col min="21" max="21" width="6.75" customWidth="1"/>
    <col min="22" max="22" width="16.5" customWidth="1"/>
    <col min="23" max="23" width="7.875" customWidth="1"/>
    <col min="24" max="24" width="8.875" customWidth="1"/>
    <col min="25" max="25" width="6.875" customWidth="1"/>
    <col min="26" max="26" width="9" customWidth="1"/>
    <col min="27" max="27" width="6.875" customWidth="1"/>
    <col min="28" max="28" width="10.5" customWidth="1"/>
    <col min="29" max="29" width="6.5" customWidth="1"/>
    <col min="30" max="30" width="10.5" customWidth="1"/>
    <col min="31" max="40" width="8.625" customWidth="1"/>
  </cols>
  <sheetData>
    <row r="1" spans="1:26" ht="13.5" customHeight="1">
      <c r="A1" s="1">
        <v>9294</v>
      </c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5"/>
      <c r="H1" s="6" t="s">
        <v>5</v>
      </c>
      <c r="K1" s="2" t="s">
        <v>6</v>
      </c>
      <c r="L1" s="3" t="s">
        <v>1</v>
      </c>
      <c r="M1" s="3" t="s">
        <v>2</v>
      </c>
      <c r="N1" s="3" t="s">
        <v>3</v>
      </c>
      <c r="O1" s="5"/>
      <c r="P1" s="6" t="s">
        <v>5</v>
      </c>
      <c r="S1" s="2" t="s">
        <v>7</v>
      </c>
      <c r="T1" s="3" t="s">
        <v>1</v>
      </c>
      <c r="U1" s="3" t="s">
        <v>2</v>
      </c>
      <c r="V1" s="3" t="s">
        <v>3</v>
      </c>
      <c r="W1" s="5"/>
      <c r="X1" s="6" t="s">
        <v>5</v>
      </c>
      <c r="Z1" s="169" t="s">
        <v>127</v>
      </c>
    </row>
    <row r="2" spans="3:27" ht="13.5" customHeight="1" thickBot="1">
      <c r="C2" s="7" t="s">
        <v>8</v>
      </c>
      <c r="D2" s="7" t="s">
        <v>9</v>
      </c>
      <c r="E2" s="7" t="s">
        <v>10</v>
      </c>
      <c r="F2" s="3"/>
      <c r="L2" s="7" t="s">
        <v>8</v>
      </c>
      <c r="M2" s="7" t="s">
        <v>9</v>
      </c>
      <c r="N2" s="7" t="s">
        <v>11</v>
      </c>
      <c r="T2" s="7" t="s">
        <v>8</v>
      </c>
      <c r="U2" s="7" t="s">
        <v>9</v>
      </c>
      <c r="V2" s="7" t="s">
        <v>11</v>
      </c>
      <c r="Z2" s="169" t="s">
        <v>128</v>
      </c>
      <c r="AA2" s="169" t="s">
        <v>129</v>
      </c>
    </row>
    <row r="3" spans="2:29" ht="13.5" customHeight="1" thickTop="1" thickBot="1">
      <c r="B3" s="8" t="s">
        <v>12</v>
      </c>
      <c r="C3" s="9">
        <f>' תחמושת סוללה א'!Z2</f>
        <v>124</v>
      </c>
      <c r="D3" s="9">
        <f>'תמחושת סוללה ב'!X2</f>
        <v>181</v>
      </c>
      <c r="E3" s="13">
        <v>130</v>
      </c>
      <c r="F3" s="10" t="s">
        <v>144</v>
      </c>
      <c r="G3" s="11"/>
      <c r="H3" s="12">
        <f t="shared" si="0" ref="H3:H26">E3+D3+C3</f>
        <v>435</v>
      </c>
      <c r="K3" s="8" t="s">
        <v>12</v>
      </c>
      <c r="L3" s="13"/>
      <c r="M3" s="13"/>
      <c r="N3" s="9" t="str">
        <f>' - אלקוש ג'!AJ2</f>
        <v/>
      </c>
      <c r="O3" s="11"/>
      <c r="P3" s="12">
        <f t="shared" si="1" ref="P3:P18">N3+M3+L3</f>
        <v>0</v>
      </c>
      <c r="S3" s="8" t="s">
        <v>12</v>
      </c>
      <c r="T3" s="13">
        <f t="shared" si="2" ref="T3:V3">C3-L3</f>
        <v>124</v>
      </c>
      <c r="U3" s="9">
        <f t="shared" si="2"/>
        <v>181</v>
      </c>
      <c r="V3" s="9">
        <f t="shared" si="2"/>
        <v>130</v>
      </c>
      <c r="W3" s="11"/>
      <c r="X3" s="12">
        <f t="shared" si="3" ref="X3:X26">V3+U3+T3</f>
        <v>435</v>
      </c>
      <c r="Z3" s="124">
        <v>17</v>
      </c>
      <c r="AA3" s="124">
        <v>48</v>
      </c>
      <c r="AB3" s="198">
        <f t="shared" si="4" ref="AB3:AB27">SUM(Z3:AA3)</f>
        <v>65</v>
      </c>
      <c r="AC3" s="1"/>
    </row>
    <row r="4" spans="2:29" ht="13.5" customHeight="1" thickTop="1" thickBot="1">
      <c r="B4" s="14" t="s">
        <v>13</v>
      </c>
      <c r="C4" s="9">
        <f>' תחמושת סוללה א'!Z3</f>
        <v>36</v>
      </c>
      <c r="D4" s="9">
        <f>'תמחושת סוללה ב'!X3</f>
        <v>53</v>
      </c>
      <c r="E4" s="13">
        <v>236</v>
      </c>
      <c r="F4" s="10" t="s">
        <v>144</v>
      </c>
      <c r="G4" s="15"/>
      <c r="H4" s="12">
        <f t="shared" si="0"/>
        <v>325</v>
      </c>
      <c r="K4" s="14" t="s">
        <v>13</v>
      </c>
      <c r="L4" s="9"/>
      <c r="M4" s="9"/>
      <c r="N4" s="9" t="str">
        <f>' - אלקוש ג'!AJ3</f>
        <v/>
      </c>
      <c r="O4" s="15"/>
      <c r="P4" s="12">
        <f t="shared" si="1"/>
        <v>0</v>
      </c>
      <c r="S4" s="14" t="s">
        <v>13</v>
      </c>
      <c r="T4" s="13">
        <f t="shared" si="5" ref="T4:V4">C4-L4</f>
        <v>36</v>
      </c>
      <c r="U4" s="9">
        <f t="shared" si="5"/>
        <v>53</v>
      </c>
      <c r="V4" s="9">
        <f t="shared" si="5"/>
        <v>236</v>
      </c>
      <c r="W4" s="15"/>
      <c r="X4" s="12">
        <f t="shared" si="3"/>
        <v>325</v>
      </c>
      <c r="Z4" s="124">
        <v>0</v>
      </c>
      <c r="AA4" s="124">
        <v>0</v>
      </c>
      <c r="AB4" s="198">
        <f t="shared" si="4"/>
        <v>0</v>
      </c>
      <c r="AC4" s="1"/>
    </row>
    <row r="5" spans="2:29" ht="13.5" customHeight="1" thickTop="1" thickBot="1">
      <c r="B5" s="14" t="s">
        <v>14</v>
      </c>
      <c r="C5" s="9">
        <f>' תחמושת סוללה א'!Z4</f>
        <v>137</v>
      </c>
      <c r="D5" s="9">
        <f>'תמחושת סוללה ב'!X4</f>
        <v>209</v>
      </c>
      <c r="E5" s="13">
        <v>126</v>
      </c>
      <c r="F5" s="10" t="s">
        <v>144</v>
      </c>
      <c r="G5" s="15"/>
      <c r="H5" s="12">
        <f t="shared" si="0"/>
        <v>472</v>
      </c>
      <c r="K5" s="14" t="s">
        <v>14</v>
      </c>
      <c r="L5" s="9"/>
      <c r="M5" s="9"/>
      <c r="N5" s="9" t="str">
        <f>' - אלקוש ג'!AJ4</f>
        <v/>
      </c>
      <c r="O5" s="15"/>
      <c r="P5" s="12">
        <f t="shared" si="1"/>
        <v>0</v>
      </c>
      <c r="S5" s="14" t="s">
        <v>14</v>
      </c>
      <c r="T5" s="13">
        <f t="shared" si="6" ref="T5:V5">C5-L5</f>
        <v>137</v>
      </c>
      <c r="U5" s="9">
        <f t="shared" si="6"/>
        <v>209</v>
      </c>
      <c r="V5" s="9">
        <f t="shared" si="6"/>
        <v>126</v>
      </c>
      <c r="W5" s="15"/>
      <c r="X5" s="12">
        <f t="shared" si="3"/>
        <v>472</v>
      </c>
      <c r="Z5" s="124">
        <v>124</v>
      </c>
      <c r="AA5" s="124">
        <v>148</v>
      </c>
      <c r="AB5" s="198">
        <f t="shared" si="4"/>
        <v>272</v>
      </c>
      <c r="AC5" s="1"/>
    </row>
    <row r="6" spans="2:29" ht="13.5" customHeight="1" thickTop="1" thickBot="1">
      <c r="B6" s="14" t="s">
        <v>15</v>
      </c>
      <c r="C6" s="9">
        <f>' תחמושת סוללה א'!Z5</f>
        <v>24</v>
      </c>
      <c r="D6" s="9">
        <f>'תמחושת סוללה ב'!X5</f>
        <v>146</v>
      </c>
      <c r="E6" s="13">
        <v>48</v>
      </c>
      <c r="F6" s="10" t="s">
        <v>144</v>
      </c>
      <c r="G6" s="15"/>
      <c r="H6" s="12">
        <f t="shared" si="0"/>
        <v>218</v>
      </c>
      <c r="K6" s="14" t="s">
        <v>15</v>
      </c>
      <c r="L6" s="9"/>
      <c r="M6" s="13"/>
      <c r="N6" s="9" t="str">
        <f>' - אלקוש ג'!AJ5</f>
        <v/>
      </c>
      <c r="O6" s="15"/>
      <c r="P6" s="12">
        <f t="shared" si="1"/>
        <v>0</v>
      </c>
      <c r="S6" s="14" t="s">
        <v>15</v>
      </c>
      <c r="T6" s="13">
        <f t="shared" si="7" ref="T6:V6">C6-L6</f>
        <v>24</v>
      </c>
      <c r="U6" s="9">
        <f t="shared" si="7"/>
        <v>146</v>
      </c>
      <c r="V6" s="9">
        <f t="shared" si="7"/>
        <v>48</v>
      </c>
      <c r="W6" s="15"/>
      <c r="X6" s="12">
        <f t="shared" si="3"/>
        <v>218</v>
      </c>
      <c r="Z6" s="124">
        <v>76</v>
      </c>
      <c r="AA6" s="124">
        <v>176</v>
      </c>
      <c r="AB6" s="198">
        <f t="shared" si="4"/>
        <v>252</v>
      </c>
      <c r="AC6" s="1"/>
    </row>
    <row r="7" spans="2:29" ht="13.5" customHeight="1" thickTop="1" thickBot="1">
      <c r="B7" s="14" t="s">
        <v>16</v>
      </c>
      <c r="C7" s="9">
        <f>' תחמושת סוללה א'!Z6</f>
        <v>105</v>
      </c>
      <c r="D7" s="9">
        <f>'תמחושת סוללה ב'!X6</f>
        <v>75</v>
      </c>
      <c r="E7" s="13">
        <v>0</v>
      </c>
      <c r="F7" s="10" t="s">
        <v>144</v>
      </c>
      <c r="G7" s="15"/>
      <c r="H7" s="12">
        <f t="shared" si="0"/>
        <v>180</v>
      </c>
      <c r="K7" s="14" t="s">
        <v>16</v>
      </c>
      <c r="L7" s="9"/>
      <c r="M7" s="9"/>
      <c r="N7" s="9" t="str">
        <f>' - אלקוש ג'!AJ6</f>
        <v/>
      </c>
      <c r="O7" s="15"/>
      <c r="P7" s="12">
        <f t="shared" si="1"/>
        <v>0</v>
      </c>
      <c r="S7" s="14" t="s">
        <v>16</v>
      </c>
      <c r="T7" s="13">
        <f t="shared" si="8" ref="T7:V7">C7-L7</f>
        <v>105</v>
      </c>
      <c r="U7" s="9">
        <f t="shared" si="8"/>
        <v>75</v>
      </c>
      <c r="V7" s="9">
        <f t="shared" si="8"/>
        <v>0</v>
      </c>
      <c r="W7" s="15"/>
      <c r="X7" s="12">
        <f t="shared" si="3"/>
        <v>180</v>
      </c>
      <c r="Z7" s="124">
        <v>38</v>
      </c>
      <c r="AA7" s="124">
        <v>144</v>
      </c>
      <c r="AB7" s="198">
        <f t="shared" si="4"/>
        <v>182</v>
      </c>
      <c r="AC7" s="1"/>
    </row>
    <row r="8" spans="2:29" ht="13.5" customHeight="1" thickTop="1" thickBot="1">
      <c r="B8" s="14" t="s">
        <v>17</v>
      </c>
      <c r="C8" s="9">
        <f>' תחמושת סוללה א'!Z7</f>
        <v>24</v>
      </c>
      <c r="D8" s="9">
        <f>'תמחושת סוללה ב'!X7</f>
        <v>0</v>
      </c>
      <c r="E8" s="13">
        <v>0</v>
      </c>
      <c r="F8" s="10" t="s">
        <v>144</v>
      </c>
      <c r="G8" s="15"/>
      <c r="H8" s="12">
        <f t="shared" si="0"/>
        <v>24</v>
      </c>
      <c r="K8" s="14" t="s">
        <v>17</v>
      </c>
      <c r="L8" s="9"/>
      <c r="M8" s="9"/>
      <c r="N8" s="9" t="str">
        <f>' - אלקוש ג'!AJ7</f>
        <v/>
      </c>
      <c r="O8" s="15"/>
      <c r="P8" s="12">
        <f t="shared" si="1"/>
        <v>0</v>
      </c>
      <c r="S8" s="14" t="s">
        <v>17</v>
      </c>
      <c r="T8" s="13">
        <f t="shared" si="9" ref="T8:V8">C8-L8</f>
        <v>24</v>
      </c>
      <c r="U8" s="9">
        <f t="shared" si="9"/>
        <v>0</v>
      </c>
      <c r="V8" s="9">
        <f t="shared" si="9"/>
        <v>0</v>
      </c>
      <c r="W8" s="15"/>
      <c r="X8" s="12">
        <f t="shared" si="3"/>
        <v>24</v>
      </c>
      <c r="Z8" s="124">
        <v>14</v>
      </c>
      <c r="AA8" s="124">
        <v>0</v>
      </c>
      <c r="AB8" s="198">
        <f t="shared" si="4"/>
        <v>14</v>
      </c>
      <c r="AC8" s="1"/>
    </row>
    <row r="9" spans="2:29" ht="13.5" customHeight="1" thickTop="1" thickBot="1">
      <c r="B9" s="14" t="s">
        <v>18</v>
      </c>
      <c r="C9" s="9">
        <f>' תחמושת סוללה א'!Z8</f>
        <v>0</v>
      </c>
      <c r="D9" s="9">
        <f>'תמחושת סוללה ב'!X8</f>
        <v>144</v>
      </c>
      <c r="E9" s="13">
        <v>144</v>
      </c>
      <c r="F9" s="10" t="s">
        <v>144</v>
      </c>
      <c r="G9" s="15"/>
      <c r="H9" s="12">
        <f t="shared" si="0"/>
        <v>288</v>
      </c>
      <c r="K9" s="14" t="s">
        <v>18</v>
      </c>
      <c r="L9" s="9"/>
      <c r="M9" s="9"/>
      <c r="N9" s="9" t="str">
        <f>' - אלקוש ג'!AJ8</f>
        <v/>
      </c>
      <c r="O9" s="15"/>
      <c r="P9" s="12">
        <f t="shared" si="1"/>
        <v>0</v>
      </c>
      <c r="S9" s="14" t="s">
        <v>18</v>
      </c>
      <c r="T9" s="13">
        <f t="shared" si="10" ref="T9:V9">C9-L9</f>
        <v>0</v>
      </c>
      <c r="U9" s="9">
        <f t="shared" si="10"/>
        <v>144</v>
      </c>
      <c r="V9" s="9">
        <f t="shared" si="10"/>
        <v>144</v>
      </c>
      <c r="W9" s="15"/>
      <c r="X9" s="12">
        <f t="shared" si="3"/>
        <v>288</v>
      </c>
      <c r="Z9" s="124">
        <v>123</v>
      </c>
      <c r="AA9" s="124">
        <v>165</v>
      </c>
      <c r="AB9" s="198">
        <f t="shared" si="4"/>
        <v>288</v>
      </c>
      <c r="AC9" s="1"/>
    </row>
    <row r="10" spans="2:29" ht="13.5" customHeight="1" thickTop="1" thickBot="1">
      <c r="B10" s="14" t="s">
        <v>19</v>
      </c>
      <c r="C10" s="9">
        <f>' תחמושת סוללה א'!Z9</f>
        <v>0</v>
      </c>
      <c r="D10" s="9">
        <f>'תמחושת סוללה ב'!X9</f>
        <v>0</v>
      </c>
      <c r="E10" s="13">
        <v>0</v>
      </c>
      <c r="F10" s="10" t="s">
        <v>144</v>
      </c>
      <c r="G10" s="15"/>
      <c r="H10" s="12">
        <f t="shared" si="0"/>
        <v>0</v>
      </c>
      <c r="K10" s="14" t="s">
        <v>19</v>
      </c>
      <c r="L10" s="9"/>
      <c r="M10" s="9"/>
      <c r="N10" s="9" t="str">
        <f>' - אלקוש ג'!AJ9</f>
        <v/>
      </c>
      <c r="O10" s="15"/>
      <c r="P10" s="12">
        <f t="shared" si="1"/>
        <v>0</v>
      </c>
      <c r="S10" s="14" t="s">
        <v>19</v>
      </c>
      <c r="T10" s="13">
        <f t="shared" si="11" ref="T10:V10">C10-L10</f>
        <v>0</v>
      </c>
      <c r="U10" s="9">
        <f t="shared" si="11"/>
        <v>0</v>
      </c>
      <c r="V10" s="9">
        <f t="shared" si="11"/>
        <v>0</v>
      </c>
      <c r="W10" s="15"/>
      <c r="X10" s="12">
        <f t="shared" si="3"/>
        <v>0</v>
      </c>
      <c r="Z10" s="124">
        <v>0</v>
      </c>
      <c r="AA10" s="124">
        <v>0</v>
      </c>
      <c r="AB10" s="198">
        <f t="shared" si="4"/>
        <v>0</v>
      </c>
      <c r="AC10" s="1"/>
    </row>
    <row r="11" spans="2:29" ht="13.5" customHeight="1" thickTop="1" thickBot="1">
      <c r="B11" s="16" t="s">
        <v>20</v>
      </c>
      <c r="C11" s="9">
        <f>' תחמושת סוללה א'!Z10</f>
        <v>0</v>
      </c>
      <c r="D11" s="9">
        <f>'תמחושת סוללה ב'!X10</f>
        <v>0</v>
      </c>
      <c r="E11" s="13">
        <v>0</v>
      </c>
      <c r="F11" s="10" t="s">
        <v>144</v>
      </c>
      <c r="G11" s="15"/>
      <c r="H11" s="12">
        <f t="shared" si="0"/>
        <v>0</v>
      </c>
      <c r="K11" s="16" t="s">
        <v>20</v>
      </c>
      <c r="L11" s="9"/>
      <c r="M11" s="9"/>
      <c r="N11" s="9" t="str">
        <f>' - אלקוש ג'!AJ10</f>
        <v/>
      </c>
      <c r="O11" s="15"/>
      <c r="P11" s="12">
        <f t="shared" si="1"/>
        <v>0</v>
      </c>
      <c r="S11" s="16" t="s">
        <v>20</v>
      </c>
      <c r="T11" s="13">
        <f t="shared" si="12" ref="T11:V11">C11-L11</f>
        <v>0</v>
      </c>
      <c r="U11" s="9">
        <f t="shared" si="12"/>
        <v>0</v>
      </c>
      <c r="V11" s="9">
        <f t="shared" si="12"/>
        <v>0</v>
      </c>
      <c r="W11" s="15"/>
      <c r="X11" s="12">
        <f t="shared" si="3"/>
        <v>0</v>
      </c>
      <c r="Z11" s="124">
        <v>0</v>
      </c>
      <c r="AA11" s="124">
        <v>0</v>
      </c>
      <c r="AB11" s="198">
        <f t="shared" si="4"/>
        <v>0</v>
      </c>
      <c r="AC11" s="1"/>
    </row>
    <row r="12" spans="2:29" ht="13.5" customHeight="1" thickTop="1" thickBot="1">
      <c r="B12" s="17">
        <v>582</v>
      </c>
      <c r="C12" s="9">
        <f>' תחמושת סוללה א'!Z11</f>
        <v>156</v>
      </c>
      <c r="D12" s="9">
        <f>'תמחושת סוללה ב'!X11</f>
        <v>161</v>
      </c>
      <c r="E12" s="13" t="s">
        <v>130</v>
      </c>
      <c r="F12" s="10" t="s">
        <v>144</v>
      </c>
      <c r="G12" s="15"/>
      <c r="H12" s="12" t="str">
        <f t="shared" si="0"/>
        <v>#VALUE!</v>
      </c>
      <c r="K12" s="17">
        <v>582</v>
      </c>
      <c r="L12" s="9"/>
      <c r="M12" s="9"/>
      <c r="N12" s="9" t="str">
        <f>' - אלקוש ג'!AJ11</f>
        <v/>
      </c>
      <c r="O12" s="15"/>
      <c r="P12" s="12">
        <f t="shared" si="1"/>
        <v>0</v>
      </c>
      <c r="S12" s="17">
        <v>582</v>
      </c>
      <c r="T12" s="13">
        <f t="shared" si="13" ref="T12:V12">C12-L12</f>
        <v>156</v>
      </c>
      <c r="U12" s="9">
        <f t="shared" si="13"/>
        <v>161</v>
      </c>
      <c r="V12" s="9" t="str">
        <f t="shared" si="13"/>
        <v>#VALUE!</v>
      </c>
      <c r="W12" s="15"/>
      <c r="X12" s="12" t="str">
        <f t="shared" si="3"/>
        <v>#VALUE!</v>
      </c>
      <c r="Z12" s="124">
        <v>190</v>
      </c>
      <c r="AA12" s="124">
        <v>9</v>
      </c>
      <c r="AB12" s="198">
        <f t="shared" si="4"/>
        <v>199</v>
      </c>
      <c r="AC12" s="1"/>
    </row>
    <row r="13" spans="2:29" ht="13.5" customHeight="1" thickTop="1" thickBot="1">
      <c r="B13" s="17">
        <v>739</v>
      </c>
      <c r="C13" s="9">
        <f>' תחמושת סוללה א'!Z12</f>
        <v>15</v>
      </c>
      <c r="D13" s="9">
        <f>'תמחושת סוללה ב'!X12</f>
        <v>55</v>
      </c>
      <c r="E13" s="13" t="s">
        <v>131</v>
      </c>
      <c r="F13" s="10" t="s">
        <v>144</v>
      </c>
      <c r="G13" s="15"/>
      <c r="H13" s="12" t="str">
        <f t="shared" si="0"/>
        <v>#VALUE!</v>
      </c>
      <c r="K13" s="17">
        <v>739</v>
      </c>
      <c r="L13" s="9"/>
      <c r="M13" s="13"/>
      <c r="N13" s="9" t="str">
        <f>' - אלקוש ג'!AJ12</f>
        <v/>
      </c>
      <c r="O13" s="15"/>
      <c r="P13" s="12">
        <f t="shared" si="1"/>
        <v>0</v>
      </c>
      <c r="S13" s="17">
        <v>739</v>
      </c>
      <c r="T13" s="13">
        <f t="shared" si="14" ref="T13:V13">C13-L13</f>
        <v>15</v>
      </c>
      <c r="U13" s="9">
        <f t="shared" si="14"/>
        <v>55</v>
      </c>
      <c r="V13" s="9" t="str">
        <f t="shared" si="14"/>
        <v>#VALUE!</v>
      </c>
      <c r="W13" s="15"/>
      <c r="X13" s="12" t="str">
        <f t="shared" si="3"/>
        <v>#VALUE!</v>
      </c>
      <c r="Z13" s="124">
        <v>77</v>
      </c>
      <c r="AA13" s="124">
        <v>61</v>
      </c>
      <c r="AB13" s="198">
        <f t="shared" si="4"/>
        <v>138</v>
      </c>
      <c r="AC13" s="1"/>
    </row>
    <row r="14" spans="2:29" ht="13.5" customHeight="1" thickTop="1" thickBot="1">
      <c r="B14" s="17">
        <v>137</v>
      </c>
      <c r="C14" s="9">
        <f>' תחמושת סוללה א'!Z13</f>
        <v>94</v>
      </c>
      <c r="D14" s="9">
        <f>'תמחושת סוללה ב'!X13</f>
        <v>68</v>
      </c>
      <c r="E14" s="13">
        <v>0</v>
      </c>
      <c r="F14" s="10" t="s">
        <v>144</v>
      </c>
      <c r="G14" s="15"/>
      <c r="H14" s="12">
        <f t="shared" si="0"/>
        <v>162</v>
      </c>
      <c r="K14" s="17">
        <v>137</v>
      </c>
      <c r="L14" s="9"/>
      <c r="M14" s="13"/>
      <c r="N14" s="9" t="str">
        <f>' - אלקוש ג'!AJ13</f>
        <v/>
      </c>
      <c r="O14" s="15"/>
      <c r="P14" s="12">
        <f t="shared" si="1"/>
        <v>0</v>
      </c>
      <c r="S14" s="17">
        <v>137</v>
      </c>
      <c r="T14" s="13">
        <f t="shared" si="15" ref="T14:V14">C14-L14</f>
        <v>94</v>
      </c>
      <c r="U14" s="9">
        <f t="shared" si="15"/>
        <v>68</v>
      </c>
      <c r="V14" s="9">
        <f t="shared" si="15"/>
        <v>0</v>
      </c>
      <c r="W14" s="15"/>
      <c r="X14" s="12">
        <f t="shared" si="3"/>
        <v>162</v>
      </c>
      <c r="Z14" s="124">
        <v>205</v>
      </c>
      <c r="AA14" s="124">
        <v>60</v>
      </c>
      <c r="AB14" s="198">
        <f t="shared" si="4"/>
        <v>265</v>
      </c>
      <c r="AC14" s="1"/>
    </row>
    <row r="15" spans="2:29" ht="13.5" customHeight="1" thickTop="1" thickBot="1">
      <c r="B15" s="17">
        <v>762</v>
      </c>
      <c r="C15" s="9">
        <f>' תחמושת סוללה א'!Z14</f>
        <v>0</v>
      </c>
      <c r="D15" s="9">
        <f>'תמחושת סוללה ב'!X14</f>
        <v>272</v>
      </c>
      <c r="E15" s="13">
        <v>153</v>
      </c>
      <c r="F15" s="10" t="s">
        <v>144</v>
      </c>
      <c r="G15" s="15"/>
      <c r="H15" s="12">
        <f t="shared" si="0"/>
        <v>425</v>
      </c>
      <c r="K15" s="17">
        <v>762</v>
      </c>
      <c r="L15" s="9"/>
      <c r="M15" s="9"/>
      <c r="N15" s="9" t="str">
        <f>' - אלקוש ג'!AJ14</f>
        <v/>
      </c>
      <c r="O15" s="15"/>
      <c r="P15" s="12">
        <f t="shared" si="1"/>
        <v>0</v>
      </c>
      <c r="S15" s="17">
        <v>762</v>
      </c>
      <c r="T15" s="13">
        <f t="shared" si="16" ref="T15:V15">C15-L15</f>
        <v>0</v>
      </c>
      <c r="U15" s="9">
        <f t="shared" si="16"/>
        <v>272</v>
      </c>
      <c r="V15" s="9">
        <f t="shared" si="16"/>
        <v>153</v>
      </c>
      <c r="W15" s="15"/>
      <c r="X15" s="12">
        <f t="shared" si="3"/>
        <v>425</v>
      </c>
      <c r="Z15" s="124">
        <v>0</v>
      </c>
      <c r="AA15" s="124">
        <v>242</v>
      </c>
      <c r="AB15" s="198">
        <f t="shared" si="4"/>
        <v>242</v>
      </c>
      <c r="AC15" s="1"/>
    </row>
    <row r="16" spans="2:29" ht="13.5" customHeight="1" thickTop="1" thickBot="1">
      <c r="B16" s="17">
        <v>147</v>
      </c>
      <c r="C16" s="9">
        <f>' תחמושת סוללה א'!Z15</f>
        <v>0</v>
      </c>
      <c r="D16" s="9">
        <f>'תמחושת סוללה ב'!X15</f>
        <v>0</v>
      </c>
      <c r="E16" s="13">
        <v>0</v>
      </c>
      <c r="F16" s="10" t="s">
        <v>144</v>
      </c>
      <c r="G16" s="15"/>
      <c r="H16" s="12">
        <f t="shared" si="0"/>
        <v>0</v>
      </c>
      <c r="K16" s="17">
        <v>147</v>
      </c>
      <c r="L16" s="9"/>
      <c r="M16" s="9"/>
      <c r="N16" s="9" t="str">
        <f>' - אלקוש ג'!AJ15</f>
        <v/>
      </c>
      <c r="O16" s="15"/>
      <c r="P16" s="12">
        <f t="shared" si="1"/>
        <v>0</v>
      </c>
      <c r="S16" s="17">
        <v>147</v>
      </c>
      <c r="T16" s="13">
        <f t="shared" si="17" ref="T16:V16">C16-L16</f>
        <v>0</v>
      </c>
      <c r="U16" s="9">
        <f t="shared" si="17"/>
        <v>0</v>
      </c>
      <c r="V16" s="9">
        <f t="shared" si="17"/>
        <v>0</v>
      </c>
      <c r="W16" s="15"/>
      <c r="X16" s="12">
        <f t="shared" si="3"/>
        <v>0</v>
      </c>
      <c r="Z16" s="124">
        <v>0</v>
      </c>
      <c r="AA16" s="124">
        <v>0</v>
      </c>
      <c r="AB16" s="198">
        <f t="shared" si="4"/>
        <v>0</v>
      </c>
      <c r="AC16" s="1"/>
    </row>
    <row r="17" spans="2:29" ht="13.5" customHeight="1" thickTop="1" thickBot="1">
      <c r="B17" s="18" t="s">
        <v>21</v>
      </c>
      <c r="C17" s="9">
        <f>' תחמושת סוללה א'!Z16</f>
        <v>136</v>
      </c>
      <c r="D17" s="9">
        <f>'תמחושת סוללה ב'!X16</f>
        <v>96</v>
      </c>
      <c r="E17" s="13">
        <v>222</v>
      </c>
      <c r="F17" s="10" t="s">
        <v>144</v>
      </c>
      <c r="G17" s="15"/>
      <c r="H17" s="12">
        <f t="shared" si="0"/>
        <v>454</v>
      </c>
      <c r="K17" s="18" t="s">
        <v>21</v>
      </c>
      <c r="L17" s="9"/>
      <c r="M17" s="9"/>
      <c r="N17" s="9" t="str">
        <f>' - אלקוש ג'!AJ16</f>
        <v/>
      </c>
      <c r="O17" s="15"/>
      <c r="P17" s="12">
        <f t="shared" si="1"/>
        <v>0</v>
      </c>
      <c r="S17" s="18" t="s">
        <v>21</v>
      </c>
      <c r="T17" s="13">
        <f t="shared" si="18" ref="T17:V17">C17-L17</f>
        <v>136</v>
      </c>
      <c r="U17" s="9">
        <f t="shared" si="18"/>
        <v>96</v>
      </c>
      <c r="V17" s="9">
        <f t="shared" si="18"/>
        <v>222</v>
      </c>
      <c r="W17" s="15"/>
      <c r="X17" s="12">
        <f t="shared" si="3"/>
        <v>454</v>
      </c>
      <c r="Z17" s="124">
        <v>0</v>
      </c>
      <c r="AA17" s="124">
        <v>0</v>
      </c>
      <c r="AB17" s="198">
        <f t="shared" si="4"/>
        <v>0</v>
      </c>
      <c r="AC17" s="1"/>
    </row>
    <row r="18" spans="2:29" ht="13.5" customHeight="1" thickTop="1" thickBot="1">
      <c r="B18" s="19" t="s">
        <v>22</v>
      </c>
      <c r="C18" s="9">
        <f>' תחמושת סוללה א'!Z17</f>
        <v>0</v>
      </c>
      <c r="D18" s="9">
        <f>'תמחושת סוללה ב'!X17</f>
        <v>0</v>
      </c>
      <c r="E18" s="13">
        <v>0</v>
      </c>
      <c r="F18" s="10" t="s">
        <v>144</v>
      </c>
      <c r="G18" s="15"/>
      <c r="H18" s="12">
        <f t="shared" si="0"/>
        <v>0</v>
      </c>
      <c r="K18" s="19" t="s">
        <v>22</v>
      </c>
      <c r="L18" s="9"/>
      <c r="M18" s="9"/>
      <c r="N18" s="9" t="str">
        <f>' - אלקוש ג'!AJ17</f>
        <v/>
      </c>
      <c r="O18" s="15"/>
      <c r="P18" s="12">
        <f t="shared" si="1"/>
        <v>0</v>
      </c>
      <c r="S18" s="19" t="s">
        <v>22</v>
      </c>
      <c r="T18" s="13">
        <f t="shared" si="19" ref="T18:V18">C18-L18</f>
        <v>0</v>
      </c>
      <c r="U18" s="9">
        <f t="shared" si="19"/>
        <v>0</v>
      </c>
      <c r="V18" s="9">
        <f t="shared" si="19"/>
        <v>0</v>
      </c>
      <c r="W18" s="15"/>
      <c r="X18" s="12">
        <f t="shared" si="3"/>
        <v>0</v>
      </c>
      <c r="Z18" s="124">
        <v>0</v>
      </c>
      <c r="AA18" s="124">
        <v>0</v>
      </c>
      <c r="AB18" s="198">
        <f t="shared" si="4"/>
        <v>0</v>
      </c>
      <c r="AC18" s="1"/>
    </row>
    <row r="19" spans="2:29" ht="13.5" customHeight="1" thickTop="1" thickBot="1">
      <c r="B19" s="20">
        <v>984</v>
      </c>
      <c r="C19" s="9">
        <f>' תחמושת סוללה א'!Z19</f>
        <v>2</v>
      </c>
      <c r="D19" s="9">
        <f>'תמחושת סוללה ב'!X18</f>
        <v>93</v>
      </c>
      <c r="E19" s="13">
        <v>0</v>
      </c>
      <c r="F19" s="10"/>
      <c r="G19" s="15"/>
      <c r="H19" s="12">
        <f t="shared" si="0"/>
        <v>95</v>
      </c>
      <c r="K19" s="20">
        <v>984</v>
      </c>
      <c r="L19" s="9"/>
      <c r="M19" s="9"/>
      <c r="N19" s="9"/>
      <c r="O19" s="15"/>
      <c r="P19" s="12"/>
      <c r="S19" s="20">
        <v>984</v>
      </c>
      <c r="T19" s="13">
        <f t="shared" si="20" ref="T19:V19">C19-L19</f>
        <v>2</v>
      </c>
      <c r="U19" s="9">
        <f t="shared" si="20"/>
        <v>93</v>
      </c>
      <c r="V19" s="9">
        <f t="shared" si="20"/>
        <v>0</v>
      </c>
      <c r="W19" s="15"/>
      <c r="X19" s="12">
        <f t="shared" si="3"/>
        <v>95</v>
      </c>
      <c r="Z19" s="124">
        <v>0</v>
      </c>
      <c r="AA19" s="124">
        <v>0</v>
      </c>
      <c r="AB19" s="198">
        <f t="shared" si="4"/>
        <v>0</v>
      </c>
      <c r="AC19" s="1"/>
    </row>
    <row r="20" spans="2:29" ht="13.5" customHeight="1" thickTop="1" thickBot="1">
      <c r="B20" s="17">
        <v>557</v>
      </c>
      <c r="C20" s="9">
        <f>' תחמושת סוללה א'!Z18</f>
        <v>0</v>
      </c>
      <c r="D20" s="9">
        <f>'תמחושת סוללה ב'!X19</f>
        <v>0</v>
      </c>
      <c r="E20" s="13" t="s">
        <v>132</v>
      </c>
      <c r="F20" s="10" t="s">
        <v>144</v>
      </c>
      <c r="G20" s="15"/>
      <c r="H20" s="12" t="str">
        <f t="shared" si="0"/>
        <v>#VALUE!</v>
      </c>
      <c r="K20" s="17">
        <v>557</v>
      </c>
      <c r="L20" s="9"/>
      <c r="M20" s="9"/>
      <c r="N20" s="9" t="str">
        <f>' - אלקוש ג'!AJ18</f>
        <v/>
      </c>
      <c r="O20" s="15"/>
      <c r="P20" s="12">
        <f t="shared" si="21" ref="P20:P26">N20+M20+L20</f>
        <v>0</v>
      </c>
      <c r="S20" s="17">
        <v>557</v>
      </c>
      <c r="T20" s="13">
        <f t="shared" si="22" ref="T20:V20">C20-L20</f>
        <v>0</v>
      </c>
      <c r="U20" s="9">
        <f t="shared" si="22"/>
        <v>0</v>
      </c>
      <c r="V20" s="9" t="str">
        <f t="shared" si="22"/>
        <v>#VALUE!</v>
      </c>
      <c r="W20" s="15"/>
      <c r="X20" s="12" t="str">
        <f t="shared" si="3"/>
        <v>#VALUE!</v>
      </c>
      <c r="Z20" s="124">
        <v>14</v>
      </c>
      <c r="AA20" s="124">
        <v>23</v>
      </c>
      <c r="AB20" s="198">
        <f t="shared" si="4"/>
        <v>37</v>
      </c>
      <c r="AC20" s="1"/>
    </row>
    <row r="21" spans="2:29" ht="13.5" customHeight="1" thickTop="1" thickBot="1">
      <c r="B21" s="22" t="s">
        <v>23</v>
      </c>
      <c r="C21" s="9">
        <f>' תחמושת סוללה א'!Z20</f>
        <v>1</v>
      </c>
      <c r="D21" s="9">
        <f>'תמחושת סוללה ב'!X20</f>
        <v>277</v>
      </c>
      <c r="E21" s="13">
        <v>194</v>
      </c>
      <c r="F21" s="10" t="s">
        <v>144</v>
      </c>
      <c r="G21" s="15"/>
      <c r="H21" s="12">
        <f t="shared" si="0"/>
        <v>472</v>
      </c>
      <c r="K21" s="22" t="s">
        <v>23</v>
      </c>
      <c r="L21" s="9"/>
      <c r="M21" s="13"/>
      <c r="N21" s="9" t="str">
        <f>' - אלקוש ג'!AJ20</f>
        <v/>
      </c>
      <c r="O21" s="15"/>
      <c r="P21" s="12">
        <f t="shared" si="21"/>
        <v>0</v>
      </c>
      <c r="S21" s="22" t="s">
        <v>23</v>
      </c>
      <c r="T21" s="13">
        <f t="shared" si="23" ref="T21:V21">C21-L21</f>
        <v>1</v>
      </c>
      <c r="U21" s="9">
        <f t="shared" si="23"/>
        <v>277</v>
      </c>
      <c r="V21" s="9">
        <f t="shared" si="23"/>
        <v>194</v>
      </c>
      <c r="W21" s="15"/>
      <c r="X21" s="12">
        <f t="shared" si="3"/>
        <v>472</v>
      </c>
      <c r="Z21" s="124">
        <v>144</v>
      </c>
      <c r="AA21" s="124">
        <v>347</v>
      </c>
      <c r="AB21" s="198">
        <f t="shared" si="4"/>
        <v>491</v>
      </c>
      <c r="AC21" s="1"/>
    </row>
    <row r="22" spans="2:29" ht="13.5" customHeight="1" thickTop="1" thickBot="1">
      <c r="B22" s="22" t="s">
        <v>24</v>
      </c>
      <c r="C22" s="9">
        <f>' תחמושת סוללה א'!Z21</f>
        <v>164</v>
      </c>
      <c r="D22" s="9">
        <f>'תמחושת סוללה ב'!X21</f>
        <v>157</v>
      </c>
      <c r="E22" s="13">
        <v>120</v>
      </c>
      <c r="F22" s="10" t="s">
        <v>144</v>
      </c>
      <c r="G22" s="15"/>
      <c r="H22" s="12">
        <f t="shared" si="0"/>
        <v>441</v>
      </c>
      <c r="K22" s="22" t="s">
        <v>24</v>
      </c>
      <c r="L22" s="9"/>
      <c r="M22" s="9"/>
      <c r="N22" s="9" t="str">
        <f>' - אלקוש ג'!AJ21</f>
        <v/>
      </c>
      <c r="O22" s="15"/>
      <c r="P22" s="12">
        <f t="shared" si="21"/>
        <v>0</v>
      </c>
      <c r="S22" s="22" t="s">
        <v>24</v>
      </c>
      <c r="T22" s="13">
        <f t="shared" si="24" ref="T22:V22">C22-L22</f>
        <v>164</v>
      </c>
      <c r="U22" s="9">
        <f t="shared" si="24"/>
        <v>157</v>
      </c>
      <c r="V22" s="9">
        <f t="shared" si="24"/>
        <v>120</v>
      </c>
      <c r="W22" s="15"/>
      <c r="X22" s="12">
        <f t="shared" si="3"/>
        <v>441</v>
      </c>
      <c r="Z22" s="124">
        <v>69</v>
      </c>
      <c r="AA22" s="124">
        <v>49</v>
      </c>
      <c r="AB22" s="198">
        <f t="shared" si="4"/>
        <v>118</v>
      </c>
      <c r="AC22" s="1"/>
    </row>
    <row r="23" spans="2:29" ht="13.5" customHeight="1" thickTop="1" thickBot="1">
      <c r="B23" s="23" t="s">
        <v>25</v>
      </c>
      <c r="C23" s="9">
        <f>' תחמושת סוללה א'!Z22</f>
        <v>285</v>
      </c>
      <c r="D23" s="9">
        <f>'תמחושת סוללה ב'!X22</f>
        <v>332</v>
      </c>
      <c r="E23" s="13">
        <v>188</v>
      </c>
      <c r="F23" s="10" t="s">
        <v>144</v>
      </c>
      <c r="G23" s="15"/>
      <c r="H23" s="12">
        <f t="shared" si="0"/>
        <v>805</v>
      </c>
      <c r="K23" s="23" t="s">
        <v>25</v>
      </c>
      <c r="L23" s="9"/>
      <c r="M23" s="9"/>
      <c r="N23" s="9" t="str">
        <f>' - אלקוש ג'!AJ22</f>
        <v/>
      </c>
      <c r="O23" s="15"/>
      <c r="P23" s="12">
        <f t="shared" si="21"/>
        <v>0</v>
      </c>
      <c r="S23" s="23" t="s">
        <v>25</v>
      </c>
      <c r="T23" s="13">
        <f t="shared" si="25" ref="T23:V23">C23-L23</f>
        <v>285</v>
      </c>
      <c r="U23" s="9">
        <f t="shared" si="25"/>
        <v>332</v>
      </c>
      <c r="V23" s="9">
        <f t="shared" si="25"/>
        <v>188</v>
      </c>
      <c r="W23" s="15"/>
      <c r="X23" s="12">
        <f t="shared" si="3"/>
        <v>805</v>
      </c>
      <c r="Z23" s="124">
        <v>187</v>
      </c>
      <c r="AA23" s="124">
        <v>1</v>
      </c>
      <c r="AB23" s="198">
        <f t="shared" si="4"/>
        <v>188</v>
      </c>
      <c r="AC23" s="1"/>
    </row>
    <row r="24" spans="2:29" ht="13.5" customHeight="1" thickTop="1" thickBot="1">
      <c r="B24" s="23" t="s">
        <v>26</v>
      </c>
      <c r="C24" s="9">
        <f>' תחמושת סוללה א'!Z23</f>
        <v>0</v>
      </c>
      <c r="D24" s="9">
        <f>'תמחושת סוללה ב'!X23</f>
        <v>0</v>
      </c>
      <c r="E24" s="13">
        <v>0</v>
      </c>
      <c r="F24" s="10" t="s">
        <v>144</v>
      </c>
      <c r="G24" s="15"/>
      <c r="H24" s="12">
        <f t="shared" si="0"/>
        <v>0</v>
      </c>
      <c r="K24" s="23" t="s">
        <v>26</v>
      </c>
      <c r="L24" s="9"/>
      <c r="M24" s="9"/>
      <c r="N24" s="9" t="str">
        <f>' - אלקוש ג'!AJ23</f>
        <v/>
      </c>
      <c r="O24" s="15"/>
      <c r="P24" s="12">
        <f t="shared" si="21"/>
        <v>0</v>
      </c>
      <c r="S24" s="23" t="s">
        <v>26</v>
      </c>
      <c r="T24" s="13">
        <f t="shared" si="26" ref="T24:V24">C24-L24</f>
        <v>0</v>
      </c>
      <c r="U24" s="9">
        <f t="shared" si="26"/>
        <v>0</v>
      </c>
      <c r="V24" s="9">
        <f t="shared" si="26"/>
        <v>0</v>
      </c>
      <c r="W24" s="15"/>
      <c r="X24" s="12">
        <f t="shared" si="3"/>
        <v>0</v>
      </c>
      <c r="Z24" s="124">
        <v>21</v>
      </c>
      <c r="AA24" s="124">
        <v>124</v>
      </c>
      <c r="AB24" s="198">
        <f t="shared" si="4"/>
        <v>145</v>
      </c>
      <c r="AC24" s="1"/>
    </row>
    <row r="25" spans="2:29" ht="13.5" customHeight="1" thickTop="1" thickBot="1">
      <c r="B25" s="23" t="s">
        <v>27</v>
      </c>
      <c r="C25" s="9">
        <f>' תחמושת סוללה א'!Z24</f>
        <v>76</v>
      </c>
      <c r="D25" s="9">
        <f>'תמחושת סוללה ב'!X24</f>
        <v>0</v>
      </c>
      <c r="E25" s="13">
        <v>0</v>
      </c>
      <c r="F25" s="10" t="s">
        <v>144</v>
      </c>
      <c r="G25" s="15"/>
      <c r="H25" s="12">
        <f t="shared" si="0"/>
        <v>76</v>
      </c>
      <c r="K25" s="23" t="s">
        <v>27</v>
      </c>
      <c r="L25" s="9"/>
      <c r="M25" s="9"/>
      <c r="N25" s="9" t="str">
        <f>' - אלקוש ג'!AJ24</f>
        <v/>
      </c>
      <c r="O25" s="15"/>
      <c r="P25" s="12">
        <f t="shared" si="21"/>
        <v>0</v>
      </c>
      <c r="S25" s="23" t="s">
        <v>27</v>
      </c>
      <c r="T25" s="13">
        <f t="shared" si="27" ref="T25:V25">C25-L25</f>
        <v>76</v>
      </c>
      <c r="U25" s="9">
        <f t="shared" si="27"/>
        <v>0</v>
      </c>
      <c r="V25" s="9">
        <f t="shared" si="27"/>
        <v>0</v>
      </c>
      <c r="W25" s="15"/>
      <c r="X25" s="12">
        <f t="shared" si="3"/>
        <v>76</v>
      </c>
      <c r="Z25" s="124">
        <v>138</v>
      </c>
      <c r="AA25" s="124">
        <v>268</v>
      </c>
      <c r="AB25" s="198">
        <f t="shared" si="4"/>
        <v>406</v>
      </c>
      <c r="AC25" s="1"/>
    </row>
    <row r="26" spans="2:28" ht="13.5" customHeight="1" thickTop="1">
      <c r="B26" s="24" t="s">
        <v>28</v>
      </c>
      <c r="C26" s="9">
        <f>' תחמושת סוללה א'!Z25</f>
        <v>466</v>
      </c>
      <c r="D26" s="9">
        <f>'תמחושת סוללה ב'!X25</f>
        <v>320</v>
      </c>
      <c r="E26" s="13">
        <v>500</v>
      </c>
      <c r="F26" s="10" t="s">
        <v>144</v>
      </c>
      <c r="G26" s="15"/>
      <c r="H26" s="12">
        <f t="shared" si="0"/>
        <v>1286</v>
      </c>
      <c r="K26" s="24" t="s">
        <v>28</v>
      </c>
      <c r="L26" s="9"/>
      <c r="M26" s="13"/>
      <c r="N26" s="9" t="str">
        <f>' - אלקוש ג'!AJ25</f>
        <v/>
      </c>
      <c r="O26" s="15"/>
      <c r="P26" s="12">
        <f t="shared" si="21"/>
        <v>0</v>
      </c>
      <c r="S26" s="24" t="s">
        <v>28</v>
      </c>
      <c r="T26" s="13">
        <f t="shared" si="28" ref="T26:V26">C26-L26</f>
        <v>466</v>
      </c>
      <c r="U26" s="9">
        <f t="shared" si="28"/>
        <v>320</v>
      </c>
      <c r="V26" s="9">
        <f t="shared" si="28"/>
        <v>500</v>
      </c>
      <c r="W26" s="15"/>
      <c r="X26" s="12">
        <f t="shared" si="3"/>
        <v>1286</v>
      </c>
      <c r="Z26" s="124">
        <v>440</v>
      </c>
      <c r="AA26" s="124">
        <v>480</v>
      </c>
      <c r="AB26" s="198">
        <f t="shared" si="4"/>
        <v>920</v>
      </c>
    </row>
    <row r="27" spans="3:28" ht="13.5" customHeight="1">
      <c r="C27" s="25">
        <f ca="1">NOW()</f>
        <v>46091.38234</v>
      </c>
      <c r="F27" s="25"/>
      <c r="L27" s="25">
        <f ca="1">NOW()</f>
        <v>46091.38234</v>
      </c>
      <c r="T27" s="25">
        <f ca="1">NOW()</f>
        <v>46091.38234</v>
      </c>
      <c r="Y27" s="169" t="s">
        <v>133</v>
      </c>
      <c r="Z27" s="124">
        <v>0</v>
      </c>
      <c r="AA27" s="124">
        <v>44</v>
      </c>
      <c r="AB27" s="198">
        <f t="shared" si="4"/>
        <v>44</v>
      </c>
    </row>
    <row r="28" spans="6:25" ht="13.5" customHeight="1">
      <c r="F28" s="25"/>
      <c r="Y28" s="17"/>
    </row>
    <row r="29" spans="3:3" ht="13.5" customHeight="1">
      <c r="C29" s="169" t="s">
        <v>134</v>
      </c>
    </row>
    <row r="30" ht="13.5" customHeight="1"/>
    <row r="31" spans="3:20" ht="13.5" customHeight="1">
      <c r="C31" s="169"/>
      <c r="D31" s="169"/>
      <c r="E31" s="169"/>
      <c r="Q31" s="199"/>
      <c r="R31" s="200"/>
      <c r="S31" s="200"/>
      <c r="T31" s="201"/>
    </row>
    <row r="32" spans="3:25" ht="13.5" customHeight="1" thickBot="1">
      <c r="C32" s="169" t="s">
        <v>135</v>
      </c>
      <c r="D32" s="169" t="s">
        <v>136</v>
      </c>
      <c r="E32" s="169" t="s">
        <v>137</v>
      </c>
      <c r="G32" s="169" t="s">
        <v>138</v>
      </c>
      <c r="L32" s="169" t="s">
        <v>9</v>
      </c>
      <c r="M32" s="169" t="s">
        <v>137</v>
      </c>
      <c r="N32" s="169" t="s">
        <v>138</v>
      </c>
      <c r="Q32" s="202"/>
      <c r="R32" s="169" t="s">
        <v>9</v>
      </c>
      <c r="S32" s="169" t="s">
        <v>10</v>
      </c>
      <c r="T32" s="203" t="s">
        <v>127</v>
      </c>
      <c r="V32" s="202"/>
      <c r="W32" s="169" t="s">
        <v>9</v>
      </c>
      <c r="X32" s="169" t="s">
        <v>10</v>
      </c>
      <c r="Y32" s="203" t="s">
        <v>127</v>
      </c>
    </row>
    <row r="33" spans="2:29" ht="13.5" customHeight="1" thickTop="1" thickBot="1">
      <c r="B33" s="204" t="s">
        <v>12</v>
      </c>
      <c r="C33" s="9">
        <v>192</v>
      </c>
      <c r="D33" s="9">
        <v>217</v>
      </c>
      <c r="E33" s="9">
        <v>237</v>
      </c>
      <c r="F33" s="10" t="e">
        <v>#REF!</v>
      </c>
      <c r="G33" s="198">
        <v>65</v>
      </c>
      <c r="H33" s="12"/>
      <c r="K33" s="204" t="s">
        <v>12</v>
      </c>
      <c r="L33" s="9">
        <v>217</v>
      </c>
      <c r="M33" s="13">
        <v>225</v>
      </c>
      <c r="N33" s="205">
        <v>65</v>
      </c>
      <c r="Q33" s="204" t="s">
        <v>12</v>
      </c>
      <c r="R33" s="206">
        <v>180</v>
      </c>
      <c r="S33" s="207">
        <v>201</v>
      </c>
      <c r="T33" s="208">
        <v>65</v>
      </c>
      <c r="U33" s="209"/>
      <c r="V33" s="204" t="s">
        <v>12</v>
      </c>
      <c r="W33" s="206">
        <v>180</v>
      </c>
      <c r="X33" s="207">
        <v>201</v>
      </c>
      <c r="Y33" s="208">
        <v>65</v>
      </c>
      <c r="AA33" s="210"/>
      <c r="AB33" s="210"/>
      <c r="AC33" s="210"/>
    </row>
    <row r="34" spans="2:29" ht="13.5" customHeight="1" thickTop="1" thickBot="1">
      <c r="B34" s="211" t="s">
        <v>13</v>
      </c>
      <c r="C34" s="9">
        <v>47</v>
      </c>
      <c r="D34" s="9">
        <v>139</v>
      </c>
      <c r="E34" s="9">
        <v>144</v>
      </c>
      <c r="F34" s="10" t="e">
        <v>#REF!</v>
      </c>
      <c r="G34" s="198">
        <v>0</v>
      </c>
      <c r="H34" s="12"/>
      <c r="K34" s="211" t="s">
        <v>13</v>
      </c>
      <c r="L34" s="9">
        <v>133</v>
      </c>
      <c r="M34" s="13">
        <v>85</v>
      </c>
      <c r="N34" s="212">
        <v>144</v>
      </c>
      <c r="Q34" s="211" t="s">
        <v>13</v>
      </c>
      <c r="R34" s="207">
        <v>84</v>
      </c>
      <c r="S34" s="207">
        <v>55</v>
      </c>
      <c r="T34" s="208">
        <v>144</v>
      </c>
      <c r="U34" s="209"/>
      <c r="V34" s="211" t="s">
        <v>13</v>
      </c>
      <c r="W34" s="207">
        <v>84</v>
      </c>
      <c r="X34" s="207">
        <v>55</v>
      </c>
      <c r="Y34" s="208">
        <v>144</v>
      </c>
      <c r="AA34" s="210"/>
      <c r="AB34" s="210"/>
      <c r="AC34" s="210"/>
    </row>
    <row r="35" spans="2:29" ht="13.5" customHeight="1" thickTop="1" thickBot="1">
      <c r="B35" s="211" t="s">
        <v>14</v>
      </c>
      <c r="C35" s="9">
        <v>137</v>
      </c>
      <c r="D35" s="9">
        <v>193</v>
      </c>
      <c r="E35" s="9">
        <v>126</v>
      </c>
      <c r="F35" s="10" t="e">
        <v>#REF!</v>
      </c>
      <c r="G35" s="198">
        <v>272</v>
      </c>
      <c r="H35" s="12"/>
      <c r="K35" s="211" t="s">
        <v>14</v>
      </c>
      <c r="L35" s="9">
        <v>193</v>
      </c>
      <c r="M35" s="9">
        <v>126</v>
      </c>
      <c r="N35" s="212">
        <v>265</v>
      </c>
      <c r="Q35" s="211" t="s">
        <v>14</v>
      </c>
      <c r="R35" s="207">
        <v>209</v>
      </c>
      <c r="S35" s="207">
        <v>126</v>
      </c>
      <c r="T35" s="208">
        <v>198</v>
      </c>
      <c r="U35" s="209"/>
      <c r="V35" s="211" t="s">
        <v>14</v>
      </c>
      <c r="W35" s="207">
        <v>209</v>
      </c>
      <c r="X35" s="207">
        <v>126</v>
      </c>
      <c r="Y35" s="208">
        <v>198</v>
      </c>
      <c r="AA35" s="210"/>
      <c r="AB35" s="210"/>
      <c r="AC35" s="210"/>
    </row>
    <row r="36" spans="2:29" ht="13.5" customHeight="1" thickTop="1" thickBot="1">
      <c r="B36" s="211" t="s">
        <v>15</v>
      </c>
      <c r="C36" s="9">
        <v>24</v>
      </c>
      <c r="D36" s="9">
        <v>154</v>
      </c>
      <c r="E36" s="9">
        <v>48</v>
      </c>
      <c r="F36" s="10" t="e">
        <v>#REF!</v>
      </c>
      <c r="G36" s="198">
        <v>252</v>
      </c>
      <c r="H36" s="12"/>
      <c r="K36" s="211" t="s">
        <v>15</v>
      </c>
      <c r="L36" s="9">
        <v>154</v>
      </c>
      <c r="M36" s="13">
        <v>158</v>
      </c>
      <c r="N36" s="212">
        <v>254</v>
      </c>
      <c r="Q36" s="211" t="s">
        <v>15</v>
      </c>
      <c r="R36" s="207">
        <v>154</v>
      </c>
      <c r="S36" s="207">
        <v>158</v>
      </c>
      <c r="T36" s="208">
        <v>251</v>
      </c>
      <c r="U36" s="209"/>
      <c r="V36" s="211" t="s">
        <v>15</v>
      </c>
      <c r="W36" s="207">
        <v>154</v>
      </c>
      <c r="X36" s="207">
        <v>158</v>
      </c>
      <c r="Y36" s="208">
        <v>251</v>
      </c>
      <c r="AA36" s="210"/>
      <c r="AB36" s="210"/>
      <c r="AC36" s="210"/>
    </row>
    <row r="37" spans="2:29" ht="13.5" customHeight="1" thickTop="1" thickBot="1">
      <c r="B37" s="211" t="s">
        <v>16</v>
      </c>
      <c r="C37" s="9">
        <v>105</v>
      </c>
      <c r="D37" s="9">
        <v>132</v>
      </c>
      <c r="E37" s="9">
        <v>0</v>
      </c>
      <c r="F37" s="10" t="e">
        <v>#REF!</v>
      </c>
      <c r="G37" s="198">
        <v>182</v>
      </c>
      <c r="H37" s="12"/>
      <c r="K37" s="211" t="s">
        <v>16</v>
      </c>
      <c r="L37" s="9">
        <v>428</v>
      </c>
      <c r="M37" s="9">
        <v>0</v>
      </c>
      <c r="N37" s="205">
        <v>182</v>
      </c>
      <c r="Q37" s="211" t="s">
        <v>16</v>
      </c>
      <c r="R37" s="206">
        <v>120</v>
      </c>
      <c r="S37" s="207">
        <v>0</v>
      </c>
      <c r="T37" s="208">
        <v>182</v>
      </c>
      <c r="U37" s="209"/>
      <c r="V37" s="211" t="s">
        <v>16</v>
      </c>
      <c r="W37" s="206">
        <v>120</v>
      </c>
      <c r="X37" s="207">
        <v>0</v>
      </c>
      <c r="Y37" s="208">
        <v>182</v>
      </c>
      <c r="AA37" s="210"/>
      <c r="AB37" s="210"/>
      <c r="AC37" s="210"/>
    </row>
    <row r="38" spans="2:29" ht="13.5" customHeight="1" thickTop="1" thickBot="1">
      <c r="B38" s="211" t="s">
        <v>17</v>
      </c>
      <c r="C38" s="9">
        <v>24</v>
      </c>
      <c r="D38" s="9">
        <v>0</v>
      </c>
      <c r="E38" s="9">
        <v>0</v>
      </c>
      <c r="F38" s="10" t="e">
        <v>#REF!</v>
      </c>
      <c r="G38" s="198">
        <v>14</v>
      </c>
      <c r="H38" s="12"/>
      <c r="K38" s="211" t="s">
        <v>17</v>
      </c>
      <c r="L38" s="9">
        <v>0</v>
      </c>
      <c r="M38" s="9">
        <v>0</v>
      </c>
      <c r="N38" s="205">
        <v>14</v>
      </c>
      <c r="Q38" s="211" t="s">
        <v>17</v>
      </c>
      <c r="R38" s="207">
        <v>0</v>
      </c>
      <c r="S38" s="207">
        <v>0</v>
      </c>
      <c r="T38" s="208">
        <v>14</v>
      </c>
      <c r="U38" s="209"/>
      <c r="V38" s="211" t="s">
        <v>17</v>
      </c>
      <c r="W38" s="207">
        <v>0</v>
      </c>
      <c r="X38" s="207">
        <v>0</v>
      </c>
      <c r="Y38" s="208">
        <v>14</v>
      </c>
      <c r="AA38" s="210"/>
      <c r="AB38" s="210"/>
      <c r="AC38" s="210"/>
    </row>
    <row r="39" spans="2:29" ht="13.5" customHeight="1" thickTop="1" thickBot="1">
      <c r="B39" s="211" t="s">
        <v>18</v>
      </c>
      <c r="C39" s="9">
        <v>0</v>
      </c>
      <c r="D39" s="9">
        <v>0</v>
      </c>
      <c r="E39" s="9">
        <v>144</v>
      </c>
      <c r="F39" s="10" t="e">
        <v>#REF!</v>
      </c>
      <c r="G39" s="198">
        <v>288</v>
      </c>
      <c r="H39" s="12"/>
      <c r="K39" s="211" t="s">
        <v>18</v>
      </c>
      <c r="L39" s="9">
        <v>0</v>
      </c>
      <c r="M39" s="13">
        <v>156</v>
      </c>
      <c r="N39" s="212">
        <v>286</v>
      </c>
      <c r="Q39" s="211" t="s">
        <v>18</v>
      </c>
      <c r="R39" s="207">
        <v>288</v>
      </c>
      <c r="S39" s="207">
        <v>139</v>
      </c>
      <c r="T39" s="208">
        <v>286</v>
      </c>
      <c r="U39" s="209"/>
      <c r="V39" s="211" t="s">
        <v>18</v>
      </c>
      <c r="W39" s="206">
        <v>144</v>
      </c>
      <c r="X39" s="207">
        <v>139</v>
      </c>
      <c r="Y39" s="208">
        <v>286</v>
      </c>
      <c r="AA39" s="210"/>
      <c r="AB39" s="210"/>
      <c r="AC39" s="210"/>
    </row>
    <row r="40" spans="2:29" ht="13.5" customHeight="1" thickTop="1" thickBot="1">
      <c r="B40" s="211" t="s">
        <v>19</v>
      </c>
      <c r="C40" s="9">
        <v>0</v>
      </c>
      <c r="D40" s="9">
        <v>0</v>
      </c>
      <c r="E40" s="9">
        <v>0</v>
      </c>
      <c r="F40" s="10" t="e">
        <v>#REF!</v>
      </c>
      <c r="G40" s="198">
        <v>0</v>
      </c>
      <c r="H40" s="12"/>
      <c r="K40" s="211" t="s">
        <v>19</v>
      </c>
      <c r="L40" s="9">
        <v>0</v>
      </c>
      <c r="M40" s="9">
        <v>0</v>
      </c>
      <c r="N40" s="205">
        <v>0</v>
      </c>
      <c r="Q40" s="211" t="s">
        <v>19</v>
      </c>
      <c r="R40" s="207">
        <v>0</v>
      </c>
      <c r="S40" s="207">
        <v>0</v>
      </c>
      <c r="T40" s="208">
        <v>0</v>
      </c>
      <c r="U40" s="209"/>
      <c r="V40" s="211" t="s">
        <v>19</v>
      </c>
      <c r="W40" s="207">
        <v>0</v>
      </c>
      <c r="X40" s="207">
        <v>0</v>
      </c>
      <c r="Y40" s="208">
        <v>0</v>
      </c>
      <c r="AA40" s="210"/>
      <c r="AB40" s="210"/>
      <c r="AC40" s="210"/>
    </row>
    <row r="41" spans="2:29" ht="13.5" customHeight="1" thickTop="1" thickBot="1">
      <c r="B41" s="211" t="s">
        <v>20</v>
      </c>
      <c r="C41" s="9">
        <v>0</v>
      </c>
      <c r="D41" s="9">
        <v>0</v>
      </c>
      <c r="E41" s="9">
        <v>0</v>
      </c>
      <c r="F41" s="10" t="e">
        <v>#REF!</v>
      </c>
      <c r="G41" s="198">
        <v>0</v>
      </c>
      <c r="H41" s="12"/>
      <c r="K41" s="211" t="s">
        <v>20</v>
      </c>
      <c r="L41" s="9">
        <v>0</v>
      </c>
      <c r="M41" s="9">
        <v>0</v>
      </c>
      <c r="N41" s="205">
        <v>0</v>
      </c>
      <c r="Q41" s="211" t="s">
        <v>20</v>
      </c>
      <c r="R41" s="207">
        <v>0</v>
      </c>
      <c r="S41" s="207">
        <v>0</v>
      </c>
      <c r="T41" s="208">
        <v>0</v>
      </c>
      <c r="U41" s="209"/>
      <c r="V41" s="211" t="s">
        <v>20</v>
      </c>
      <c r="W41" s="207">
        <v>0</v>
      </c>
      <c r="X41" s="207">
        <v>0</v>
      </c>
      <c r="Y41" s="208">
        <v>0</v>
      </c>
      <c r="AA41" s="210"/>
      <c r="AB41" s="210"/>
      <c r="AC41" s="210"/>
    </row>
    <row r="42" spans="2:29" ht="13.5" customHeight="1" thickTop="1" thickBot="1">
      <c r="B42" s="213">
        <v>582</v>
      </c>
      <c r="C42" s="9">
        <v>156</v>
      </c>
      <c r="D42" s="9">
        <v>150</v>
      </c>
      <c r="E42" s="13" t="s">
        <v>130</v>
      </c>
      <c r="F42" s="10" t="e">
        <v>#REF!</v>
      </c>
      <c r="G42" s="198">
        <v>199</v>
      </c>
      <c r="H42" s="12"/>
      <c r="K42" s="213">
        <v>582</v>
      </c>
      <c r="L42" s="9">
        <v>150</v>
      </c>
      <c r="M42" s="13">
        <v>150</v>
      </c>
      <c r="N42" s="212">
        <v>202</v>
      </c>
      <c r="Q42" s="213">
        <v>582</v>
      </c>
      <c r="R42" s="207">
        <v>142</v>
      </c>
      <c r="S42" s="207">
        <v>150</v>
      </c>
      <c r="T42" s="208">
        <v>182</v>
      </c>
      <c r="U42" s="209"/>
      <c r="V42" s="213">
        <v>582</v>
      </c>
      <c r="W42" s="207">
        <v>142</v>
      </c>
      <c r="X42" s="207">
        <v>150</v>
      </c>
      <c r="Y42" s="208">
        <v>182</v>
      </c>
      <c r="AA42" s="210"/>
      <c r="AB42" s="210"/>
      <c r="AC42" s="210"/>
    </row>
    <row r="43" spans="2:29" ht="13.5" customHeight="1" thickTop="1" thickBot="1">
      <c r="B43" s="213">
        <v>739</v>
      </c>
      <c r="C43" s="9">
        <v>16</v>
      </c>
      <c r="D43" s="9">
        <v>55</v>
      </c>
      <c r="E43" s="13" t="s">
        <v>131</v>
      </c>
      <c r="F43" s="10" t="e">
        <v>#REF!</v>
      </c>
      <c r="G43" s="198">
        <v>138</v>
      </c>
      <c r="H43" s="12"/>
      <c r="K43" s="213">
        <v>739</v>
      </c>
      <c r="L43" s="9">
        <v>55</v>
      </c>
      <c r="M43" s="13">
        <v>12</v>
      </c>
      <c r="N43" s="212">
        <v>86</v>
      </c>
      <c r="Q43" s="213">
        <v>739</v>
      </c>
      <c r="R43" s="206">
        <v>33</v>
      </c>
      <c r="S43" s="207">
        <v>12</v>
      </c>
      <c r="T43" s="208">
        <v>64</v>
      </c>
      <c r="U43" s="209"/>
      <c r="V43" s="213">
        <v>739</v>
      </c>
      <c r="W43" s="206">
        <v>33</v>
      </c>
      <c r="X43" s="206">
        <v>0</v>
      </c>
      <c r="Y43" s="208">
        <v>64</v>
      </c>
      <c r="AA43" s="210"/>
      <c r="AB43" s="210"/>
      <c r="AC43" s="210"/>
    </row>
    <row r="44" spans="2:29" ht="13.5" customHeight="1" thickTop="1" thickBot="1">
      <c r="B44" s="213">
        <v>137</v>
      </c>
      <c r="C44" s="9">
        <v>94</v>
      </c>
      <c r="D44" s="9">
        <v>74</v>
      </c>
      <c r="E44" s="9">
        <v>141</v>
      </c>
      <c r="F44" s="10" t="e">
        <v>#REF!</v>
      </c>
      <c r="G44" s="198">
        <v>265</v>
      </c>
      <c r="H44" s="12"/>
      <c r="K44" s="213">
        <v>137</v>
      </c>
      <c r="L44" s="9">
        <v>74</v>
      </c>
      <c r="M44" s="13">
        <v>112</v>
      </c>
      <c r="N44" s="212">
        <v>264</v>
      </c>
      <c r="Q44" s="213">
        <v>137</v>
      </c>
      <c r="R44" s="206">
        <v>69</v>
      </c>
      <c r="S44" s="207">
        <v>112</v>
      </c>
      <c r="T44" s="208">
        <v>264</v>
      </c>
      <c r="U44" s="209"/>
      <c r="V44" s="213">
        <v>137</v>
      </c>
      <c r="W44" s="206">
        <v>69</v>
      </c>
      <c r="X44" s="207">
        <v>112</v>
      </c>
      <c r="Y44" s="208">
        <v>264</v>
      </c>
      <c r="AA44" s="210"/>
      <c r="AB44" s="210"/>
      <c r="AC44" s="210"/>
    </row>
    <row r="45" spans="2:29" ht="13.5" customHeight="1" thickTop="1" thickBot="1">
      <c r="B45" s="213">
        <v>762</v>
      </c>
      <c r="C45" s="9">
        <v>0</v>
      </c>
      <c r="D45" s="9">
        <v>144</v>
      </c>
      <c r="E45" s="9">
        <v>144</v>
      </c>
      <c r="F45" s="10" t="e">
        <v>#REF!</v>
      </c>
      <c r="G45" s="198">
        <v>242</v>
      </c>
      <c r="H45" s="12"/>
      <c r="K45" s="213">
        <v>762</v>
      </c>
      <c r="L45" s="9">
        <v>432</v>
      </c>
      <c r="M45" s="13">
        <v>169</v>
      </c>
      <c r="N45" s="205">
        <v>242</v>
      </c>
      <c r="Q45" s="213">
        <v>762</v>
      </c>
      <c r="R45" s="207">
        <v>432</v>
      </c>
      <c r="S45" s="207">
        <v>164</v>
      </c>
      <c r="T45" s="208">
        <v>242</v>
      </c>
      <c r="U45" s="209"/>
      <c r="V45" s="213">
        <v>762</v>
      </c>
      <c r="W45" s="207">
        <v>432</v>
      </c>
      <c r="X45" s="207">
        <v>164</v>
      </c>
      <c r="Y45" s="208">
        <v>242</v>
      </c>
      <c r="AA45" s="210"/>
      <c r="AB45" s="210"/>
      <c r="AC45" s="210"/>
    </row>
    <row r="46" spans="2:29" ht="13.5" customHeight="1" thickTop="1" thickBot="1">
      <c r="B46" s="213">
        <v>147</v>
      </c>
      <c r="C46" s="9">
        <v>0</v>
      </c>
      <c r="D46" s="9">
        <v>0</v>
      </c>
      <c r="E46" s="9">
        <v>0</v>
      </c>
      <c r="F46" s="10" t="e">
        <v>#REF!</v>
      </c>
      <c r="G46" s="198">
        <v>0</v>
      </c>
      <c r="H46" s="12"/>
      <c r="K46" s="213">
        <v>147</v>
      </c>
      <c r="L46" s="9">
        <v>0</v>
      </c>
      <c r="M46" s="13">
        <v>0</v>
      </c>
      <c r="N46" s="205">
        <v>0</v>
      </c>
      <c r="Q46" s="213">
        <v>147</v>
      </c>
      <c r="R46" s="207">
        <v>0</v>
      </c>
      <c r="S46" s="207">
        <v>0</v>
      </c>
      <c r="T46" s="208">
        <v>0</v>
      </c>
      <c r="U46" s="209"/>
      <c r="V46" s="213">
        <v>147</v>
      </c>
      <c r="W46" s="207">
        <v>0</v>
      </c>
      <c r="X46" s="207">
        <v>0</v>
      </c>
      <c r="Y46" s="208">
        <v>0</v>
      </c>
      <c r="AA46" s="210"/>
      <c r="AB46" s="210"/>
      <c r="AC46" s="210"/>
    </row>
    <row r="47" spans="2:29" ht="13.5" customHeight="1" thickTop="1" thickBot="1">
      <c r="B47" s="214" t="s">
        <v>21</v>
      </c>
      <c r="C47" s="9">
        <v>208</v>
      </c>
      <c r="D47" s="9">
        <v>279</v>
      </c>
      <c r="E47" s="9">
        <v>144</v>
      </c>
      <c r="F47" s="10" t="e">
        <v>#REF!</v>
      </c>
      <c r="G47" s="198">
        <v>0</v>
      </c>
      <c r="H47" s="12"/>
      <c r="K47" s="214" t="s">
        <v>21</v>
      </c>
      <c r="L47" s="9">
        <v>255</v>
      </c>
      <c r="M47" s="13">
        <v>162</v>
      </c>
      <c r="N47" s="212">
        <v>144</v>
      </c>
      <c r="Q47" s="215">
        <v>148</v>
      </c>
      <c r="R47" s="207">
        <v>96</v>
      </c>
      <c r="S47" s="207">
        <v>108</v>
      </c>
      <c r="T47" s="208">
        <v>144</v>
      </c>
      <c r="U47" s="209"/>
      <c r="V47" s="215">
        <v>148</v>
      </c>
      <c r="W47" s="207">
        <v>96</v>
      </c>
      <c r="X47" s="207">
        <v>108</v>
      </c>
      <c r="Y47" s="208">
        <v>144</v>
      </c>
      <c r="AA47" s="210"/>
      <c r="AB47" s="210"/>
      <c r="AC47" s="210"/>
    </row>
    <row r="48" spans="2:29" ht="13.5" customHeight="1" thickTop="1" thickBot="1">
      <c r="B48" s="214" t="s">
        <v>22</v>
      </c>
      <c r="C48" s="9">
        <v>0</v>
      </c>
      <c r="D48" s="9">
        <v>0</v>
      </c>
      <c r="E48" s="9">
        <v>0</v>
      </c>
      <c r="F48" s="10" t="e">
        <v>#REF!</v>
      </c>
      <c r="G48" s="198">
        <v>0</v>
      </c>
      <c r="H48" s="12"/>
      <c r="K48" s="214" t="s">
        <v>22</v>
      </c>
      <c r="L48" s="9">
        <v>0</v>
      </c>
      <c r="M48" s="9">
        <v>0</v>
      </c>
      <c r="N48" s="205">
        <v>0</v>
      </c>
      <c r="Q48" s="216" t="s">
        <v>22</v>
      </c>
      <c r="R48" s="207">
        <v>0</v>
      </c>
      <c r="S48" s="207">
        <v>0</v>
      </c>
      <c r="T48" s="208">
        <v>0</v>
      </c>
      <c r="U48" s="209"/>
      <c r="V48" s="216" t="s">
        <v>22</v>
      </c>
      <c r="W48" s="207">
        <v>0</v>
      </c>
      <c r="X48" s="207">
        <v>0</v>
      </c>
      <c r="Y48" s="208">
        <v>0</v>
      </c>
      <c r="AA48" s="210"/>
      <c r="AB48" s="210"/>
      <c r="AC48" s="210"/>
    </row>
    <row r="49" spans="2:29" ht="13.5" customHeight="1" thickTop="1" thickBot="1">
      <c r="B49" s="217">
        <v>984</v>
      </c>
      <c r="C49" s="9">
        <v>11</v>
      </c>
      <c r="D49" s="9">
        <v>0</v>
      </c>
      <c r="E49" s="9">
        <v>0</v>
      </c>
      <c r="F49" s="10"/>
      <c r="G49" s="198">
        <v>0</v>
      </c>
      <c r="H49" s="12"/>
      <c r="K49" s="217">
        <v>984</v>
      </c>
      <c r="L49" s="9">
        <v>18</v>
      </c>
      <c r="M49" s="13">
        <v>144</v>
      </c>
      <c r="N49" s="205">
        <v>0</v>
      </c>
      <c r="Q49" s="213">
        <v>984</v>
      </c>
      <c r="R49" s="207">
        <v>113</v>
      </c>
      <c r="S49" s="207">
        <v>144</v>
      </c>
      <c r="T49" s="208">
        <v>0</v>
      </c>
      <c r="U49" s="209"/>
      <c r="V49" s="213">
        <v>984</v>
      </c>
      <c r="W49" s="207">
        <v>113</v>
      </c>
      <c r="X49" s="207">
        <v>144</v>
      </c>
      <c r="Y49" s="208">
        <v>0</v>
      </c>
      <c r="AA49" s="210"/>
      <c r="AB49" s="210"/>
      <c r="AC49" s="210"/>
    </row>
    <row r="50" spans="2:29" ht="13.5" customHeight="1" thickTop="1" thickBot="1">
      <c r="B50" s="213">
        <v>557</v>
      </c>
      <c r="C50" s="9">
        <v>0</v>
      </c>
      <c r="D50" s="9">
        <v>0</v>
      </c>
      <c r="E50" s="9">
        <v>144</v>
      </c>
      <c r="F50" s="10" t="e">
        <v>#REF!</v>
      </c>
      <c r="G50" s="198">
        <v>37</v>
      </c>
      <c r="H50" s="12"/>
      <c r="K50" s="213">
        <v>557</v>
      </c>
      <c r="L50" s="9">
        <v>0</v>
      </c>
      <c r="M50" s="9"/>
      <c r="N50" s="212">
        <v>31</v>
      </c>
      <c r="Q50" s="213">
        <v>557</v>
      </c>
      <c r="R50" s="207">
        <v>0</v>
      </c>
      <c r="S50" s="207">
        <v>0</v>
      </c>
      <c r="T50" s="208">
        <v>23</v>
      </c>
      <c r="U50" s="209"/>
      <c r="V50" s="213">
        <v>557</v>
      </c>
      <c r="W50" s="207">
        <v>0</v>
      </c>
      <c r="X50" s="207">
        <v>0</v>
      </c>
      <c r="Y50" s="208">
        <v>23</v>
      </c>
      <c r="AA50" s="210"/>
      <c r="AB50" s="210"/>
      <c r="AC50" s="210"/>
    </row>
    <row r="51" spans="2:29" ht="13.5" customHeight="1" thickTop="1" thickBot="1">
      <c r="B51" s="218" t="s">
        <v>23</v>
      </c>
      <c r="C51" s="9">
        <v>3</v>
      </c>
      <c r="D51" s="9">
        <v>217</v>
      </c>
      <c r="E51" s="9">
        <v>142</v>
      </c>
      <c r="F51" s="10" t="e">
        <v>#REF!</v>
      </c>
      <c r="G51" s="198">
        <v>491</v>
      </c>
      <c r="H51" s="12"/>
      <c r="K51" s="218" t="s">
        <v>23</v>
      </c>
      <c r="L51" s="9">
        <v>403</v>
      </c>
      <c r="M51" s="13">
        <v>172</v>
      </c>
      <c r="N51" s="212">
        <v>662</v>
      </c>
      <c r="Q51" s="218" t="s">
        <v>23</v>
      </c>
      <c r="R51" s="206">
        <v>397</v>
      </c>
      <c r="S51" s="207">
        <v>129</v>
      </c>
      <c r="T51" s="208">
        <v>609</v>
      </c>
      <c r="U51" s="209"/>
      <c r="V51" s="218" t="s">
        <v>23</v>
      </c>
      <c r="W51" s="206">
        <v>397</v>
      </c>
      <c r="X51" s="207">
        <v>129</v>
      </c>
      <c r="Y51" s="208">
        <v>609</v>
      </c>
      <c r="AA51" s="210"/>
      <c r="AB51" s="210"/>
      <c r="AC51" s="210"/>
    </row>
    <row r="52" spans="2:29" ht="13.5" customHeight="1" thickTop="1" thickBot="1">
      <c r="B52" s="218" t="s">
        <v>24</v>
      </c>
      <c r="C52" s="9">
        <v>224</v>
      </c>
      <c r="D52" s="9">
        <v>268</v>
      </c>
      <c r="E52" s="9">
        <v>252</v>
      </c>
      <c r="F52" s="10" t="e">
        <v>#REF!</v>
      </c>
      <c r="G52" s="198">
        <v>118</v>
      </c>
      <c r="H52" s="12"/>
      <c r="K52" s="218" t="s">
        <v>24</v>
      </c>
      <c r="L52" s="9">
        <v>410</v>
      </c>
      <c r="M52" s="13">
        <v>408</v>
      </c>
      <c r="N52" s="212">
        <v>119</v>
      </c>
      <c r="Q52" s="218" t="s">
        <v>24</v>
      </c>
      <c r="R52" s="206">
        <v>296</v>
      </c>
      <c r="S52" s="207">
        <v>408</v>
      </c>
      <c r="T52" s="208">
        <v>119</v>
      </c>
      <c r="U52" s="209"/>
      <c r="V52" s="218" t="s">
        <v>24</v>
      </c>
      <c r="W52" s="206">
        <v>296</v>
      </c>
      <c r="X52" s="207">
        <v>408</v>
      </c>
      <c r="Y52" s="208">
        <v>119</v>
      </c>
      <c r="AA52" s="210"/>
      <c r="AB52" s="210"/>
      <c r="AC52" s="210"/>
    </row>
    <row r="53" spans="2:29" ht="13.5" customHeight="1" thickTop="1" thickBot="1">
      <c r="B53" s="218" t="s">
        <v>25</v>
      </c>
      <c r="C53" s="9">
        <v>285</v>
      </c>
      <c r="D53" s="9">
        <v>75</v>
      </c>
      <c r="E53" s="9">
        <v>207</v>
      </c>
      <c r="F53" s="10" t="e">
        <v>#REF!</v>
      </c>
      <c r="G53" s="198">
        <v>188</v>
      </c>
      <c r="H53" s="12"/>
      <c r="K53" s="218" t="s">
        <v>25</v>
      </c>
      <c r="L53" s="9">
        <v>76</v>
      </c>
      <c r="M53" s="13">
        <v>218</v>
      </c>
      <c r="N53" s="212">
        <v>193</v>
      </c>
      <c r="Q53" s="218" t="s">
        <v>25</v>
      </c>
      <c r="R53" s="207">
        <v>92</v>
      </c>
      <c r="S53" s="207">
        <v>268</v>
      </c>
      <c r="T53" s="208">
        <v>172</v>
      </c>
      <c r="U53" s="209"/>
      <c r="V53" s="218" t="s">
        <v>25</v>
      </c>
      <c r="W53" s="207">
        <v>92</v>
      </c>
      <c r="X53" s="207">
        <v>268</v>
      </c>
      <c r="Y53" s="208">
        <v>172</v>
      </c>
      <c r="Z53" s="124">
        <v>188</v>
      </c>
      <c r="AA53" s="206">
        <v>170</v>
      </c>
      <c r="AB53" s="206">
        <v>96</v>
      </c>
      <c r="AC53" s="219">
        <f>SUM(AB53,AA53,Z53)</f>
        <v>454</v>
      </c>
    </row>
    <row r="54" spans="2:29" ht="13.5" customHeight="1" thickTop="1" thickBot="1">
      <c r="B54" s="218" t="s">
        <v>26</v>
      </c>
      <c r="C54" s="9">
        <v>0</v>
      </c>
      <c r="D54" s="9">
        <v>0</v>
      </c>
      <c r="E54" s="9">
        <v>0</v>
      </c>
      <c r="F54" s="10" t="e">
        <v>#REF!</v>
      </c>
      <c r="G54" s="198">
        <v>145</v>
      </c>
      <c r="H54" s="12"/>
      <c r="K54" s="218" t="s">
        <v>26</v>
      </c>
      <c r="L54" s="9">
        <v>0</v>
      </c>
      <c r="M54" s="9">
        <v>0</v>
      </c>
      <c r="N54" s="205">
        <v>145</v>
      </c>
      <c r="Q54" s="218" t="s">
        <v>26</v>
      </c>
      <c r="R54" s="207">
        <v>0</v>
      </c>
      <c r="S54" s="207">
        <v>0</v>
      </c>
      <c r="T54" s="208">
        <v>145</v>
      </c>
      <c r="U54" s="209"/>
      <c r="V54" s="218" t="s">
        <v>26</v>
      </c>
      <c r="W54" s="207">
        <v>0</v>
      </c>
      <c r="X54" s="207">
        <v>0</v>
      </c>
      <c r="Y54" s="208">
        <v>145</v>
      </c>
      <c r="AA54" s="210"/>
      <c r="AB54" s="210"/>
      <c r="AC54" s="210"/>
    </row>
    <row r="55" spans="2:29" ht="13.5" customHeight="1" thickTop="1">
      <c r="B55" s="218" t="s">
        <v>27</v>
      </c>
      <c r="C55" s="9">
        <v>30</v>
      </c>
      <c r="D55" s="9">
        <v>0</v>
      </c>
      <c r="E55" s="9">
        <v>284</v>
      </c>
      <c r="F55" s="10" t="e">
        <v>#REF!</v>
      </c>
      <c r="G55" s="198">
        <v>406</v>
      </c>
      <c r="H55" s="12"/>
      <c r="K55" s="218" t="s">
        <v>27</v>
      </c>
      <c r="L55" s="9">
        <v>0</v>
      </c>
      <c r="M55" s="13">
        <v>0</v>
      </c>
      <c r="N55" s="212">
        <v>387</v>
      </c>
      <c r="Q55" s="218" t="s">
        <v>27</v>
      </c>
      <c r="R55" s="207">
        <v>0</v>
      </c>
      <c r="S55" s="207">
        <v>240</v>
      </c>
      <c r="T55" s="208">
        <v>350</v>
      </c>
      <c r="U55" s="209"/>
      <c r="V55" s="218" t="s">
        <v>27</v>
      </c>
      <c r="W55" s="207">
        <v>0</v>
      </c>
      <c r="X55" s="207">
        <v>240</v>
      </c>
      <c r="Y55" s="208">
        <v>350</v>
      </c>
      <c r="AA55" s="210"/>
      <c r="AB55" s="210"/>
      <c r="AC55" s="210"/>
    </row>
    <row r="56" spans="2:29" ht="13.5" customHeight="1" thickBot="1">
      <c r="B56" s="169" t="s">
        <v>133</v>
      </c>
      <c r="G56" s="124">
        <v>44</v>
      </c>
      <c r="K56" s="169" t="s">
        <v>133</v>
      </c>
      <c r="L56" s="124">
        <v>0</v>
      </c>
      <c r="M56" s="212">
        <v>0</v>
      </c>
      <c r="N56" s="212">
        <v>44</v>
      </c>
      <c r="Q56" s="202" t="s">
        <v>133</v>
      </c>
      <c r="R56" s="206">
        <v>0</v>
      </c>
      <c r="S56" s="206">
        <v>0</v>
      </c>
      <c r="T56" s="208">
        <v>44</v>
      </c>
      <c r="U56" s="209"/>
      <c r="V56" s="202" t="s">
        <v>133</v>
      </c>
      <c r="W56" s="206">
        <v>0</v>
      </c>
      <c r="X56" s="206">
        <v>0</v>
      </c>
      <c r="Y56" s="208">
        <v>44</v>
      </c>
      <c r="AA56" s="210"/>
      <c r="AB56" s="210"/>
      <c r="AC56" s="210"/>
    </row>
    <row r="57" spans="2:29" ht="13.5" customHeight="1" thickTop="1">
      <c r="B57" s="220" t="s">
        <v>28</v>
      </c>
      <c r="C57" s="9">
        <v>795</v>
      </c>
      <c r="D57" s="9">
        <v>320</v>
      </c>
      <c r="E57" s="9">
        <v>855</v>
      </c>
      <c r="F57" s="10" t="e">
        <v>#REF!</v>
      </c>
      <c r="G57" s="198">
        <v>920</v>
      </c>
      <c r="H57" s="12"/>
      <c r="K57" s="220" t="s">
        <v>28</v>
      </c>
      <c r="L57" s="209">
        <v>640</v>
      </c>
      <c r="M57" s="9">
        <v>855</v>
      </c>
      <c r="N57" s="212">
        <v>1400</v>
      </c>
      <c r="Q57" s="221" t="s">
        <v>28</v>
      </c>
      <c r="R57" s="206">
        <v>600</v>
      </c>
      <c r="S57" s="207">
        <v>744</v>
      </c>
      <c r="T57" s="208">
        <v>1364</v>
      </c>
      <c r="V57" s="221" t="s">
        <v>28</v>
      </c>
      <c r="W57" s="206">
        <v>600</v>
      </c>
      <c r="X57" s="207">
        <v>744</v>
      </c>
      <c r="Y57" s="208">
        <v>1364</v>
      </c>
      <c r="AA57" s="210"/>
      <c r="AB57" s="210"/>
      <c r="AC57" s="210"/>
    </row>
    <row r="58" spans="3:25" ht="13.5" customHeight="1">
      <c r="C58" s="25">
        <v>46087.498008587965</v>
      </c>
      <c r="F58" s="25"/>
      <c r="L58" s="222">
        <v>46088.49800925926</v>
      </c>
      <c r="O58" s="25"/>
      <c r="Q58" s="223"/>
      <c r="T58" s="224"/>
      <c r="V58" s="223"/>
      <c r="Y58" s="224"/>
    </row>
    <row r="59" spans="6:25" ht="13.5" customHeight="1">
      <c r="F59" s="25"/>
      <c r="O59" s="25"/>
      <c r="Q59" s="225">
        <v>0.3229166666666667</v>
      </c>
      <c r="R59" s="226" t="s">
        <v>139</v>
      </c>
      <c r="S59" s="227"/>
      <c r="T59" s="228"/>
      <c r="V59" s="225">
        <v>0.3229166666666667</v>
      </c>
      <c r="W59" s="226" t="s">
        <v>139</v>
      </c>
      <c r="X59" s="227"/>
      <c r="Y59" s="228"/>
    </row>
    <row r="60" spans="12:14" ht="13.5" customHeight="1">
      <c r="L60" s="198">
        <f t="shared" si="29" ref="L60:N60">SUM(L51:L52)</f>
        <v>813</v>
      </c>
      <c r="M60" s="198">
        <f t="shared" si="29"/>
        <v>580</v>
      </c>
      <c r="N60" s="198">
        <f t="shared" si="29"/>
        <v>781</v>
      </c>
    </row>
    <row r="61" ht="13.5" customHeight="1"/>
    <row r="62" ht="13.5" customHeight="1"/>
    <row r="63" ht="13.5" customHeight="1"/>
    <row r="64" spans="11:14" ht="13.5" customHeight="1">
      <c r="K64" s="229"/>
      <c r="L64" s="230" t="s">
        <v>9</v>
      </c>
      <c r="M64" s="230" t="s">
        <v>10</v>
      </c>
      <c r="N64" s="231" t="s">
        <v>127</v>
      </c>
    </row>
    <row r="65" spans="11:16" ht="13.5" customHeight="1">
      <c r="K65" s="232" t="s">
        <v>12</v>
      </c>
      <c r="L65" s="233">
        <v>154</v>
      </c>
      <c r="M65" s="234">
        <v>185</v>
      </c>
      <c r="N65" s="235">
        <v>65</v>
      </c>
      <c r="O65" s="124"/>
      <c r="P65" s="236"/>
    </row>
    <row r="66" spans="11:16" ht="13.5" customHeight="1">
      <c r="K66" s="232" t="s">
        <v>13</v>
      </c>
      <c r="L66" s="233">
        <v>49</v>
      </c>
      <c r="M66" s="234">
        <v>55</v>
      </c>
      <c r="N66" s="235">
        <v>144</v>
      </c>
      <c r="O66" s="236"/>
      <c r="P66" s="236"/>
    </row>
    <row r="67" spans="11:16" ht="13.5" customHeight="1">
      <c r="K67" s="232" t="s">
        <v>14</v>
      </c>
      <c r="L67" s="212">
        <v>269</v>
      </c>
      <c r="M67" s="234">
        <v>126</v>
      </c>
      <c r="N67" s="235">
        <v>155</v>
      </c>
      <c r="O67" s="124"/>
      <c r="P67" s="236"/>
    </row>
    <row r="68" spans="11:16" ht="13.5" customHeight="1">
      <c r="K68" s="232" t="s">
        <v>15</v>
      </c>
      <c r="L68" s="233">
        <v>144</v>
      </c>
      <c r="M68" s="234">
        <v>158</v>
      </c>
      <c r="N68" s="235">
        <v>251</v>
      </c>
      <c r="O68" s="236"/>
      <c r="P68" s="236"/>
    </row>
    <row r="69" spans="11:16" ht="13.5" customHeight="1">
      <c r="K69" s="232" t="s">
        <v>16</v>
      </c>
      <c r="L69" s="233">
        <v>75</v>
      </c>
      <c r="M69" s="234">
        <v>0</v>
      </c>
      <c r="N69" s="235">
        <v>182</v>
      </c>
      <c r="O69" s="236"/>
      <c r="P69" s="236"/>
    </row>
    <row r="70" spans="11:16" ht="13.5" customHeight="1">
      <c r="K70" s="232" t="s">
        <v>17</v>
      </c>
      <c r="L70" s="233">
        <v>0</v>
      </c>
      <c r="M70" s="234">
        <v>0</v>
      </c>
      <c r="N70" s="235">
        <v>14</v>
      </c>
      <c r="O70" s="236"/>
      <c r="P70" s="236"/>
    </row>
    <row r="71" spans="11:16" ht="13.5" customHeight="1">
      <c r="K71" s="232" t="s">
        <v>18</v>
      </c>
      <c r="L71" s="233">
        <v>144</v>
      </c>
      <c r="M71" s="234">
        <v>139</v>
      </c>
      <c r="N71" s="235">
        <v>281</v>
      </c>
      <c r="O71" s="236"/>
      <c r="P71" s="236"/>
    </row>
    <row r="72" spans="11:16" ht="13.5" customHeight="1">
      <c r="K72" s="232" t="s">
        <v>19</v>
      </c>
      <c r="L72" s="233">
        <v>0</v>
      </c>
      <c r="M72" s="234">
        <v>0</v>
      </c>
      <c r="N72" s="235">
        <v>0</v>
      </c>
      <c r="O72" s="236"/>
      <c r="P72" s="236"/>
    </row>
    <row r="73" spans="11:16" ht="13.5" customHeight="1">
      <c r="K73" s="237" t="s">
        <v>20</v>
      </c>
      <c r="L73" s="233">
        <v>0</v>
      </c>
      <c r="M73" s="234">
        <v>0</v>
      </c>
      <c r="N73" s="235">
        <v>0</v>
      </c>
      <c r="O73" s="236"/>
      <c r="P73" s="236"/>
    </row>
    <row r="74" spans="11:16" ht="13.5" customHeight="1">
      <c r="K74" s="237" t="s">
        <v>140</v>
      </c>
      <c r="L74" s="212">
        <v>107</v>
      </c>
      <c r="M74" s="212">
        <v>0</v>
      </c>
      <c r="N74" s="238">
        <v>0</v>
      </c>
      <c r="O74" s="124"/>
      <c r="P74" s="236"/>
    </row>
    <row r="75" spans="11:16" ht="13.5" customHeight="1">
      <c r="K75" s="239">
        <v>582</v>
      </c>
      <c r="L75" s="212">
        <v>201</v>
      </c>
      <c r="M75" s="234">
        <v>150</v>
      </c>
      <c r="N75" s="235">
        <v>123</v>
      </c>
      <c r="O75" s="124"/>
      <c r="P75" s="236"/>
    </row>
    <row r="76" spans="11:16" ht="13.5" customHeight="1">
      <c r="K76" s="239">
        <v>739</v>
      </c>
      <c r="L76" s="212">
        <v>109</v>
      </c>
      <c r="M76" s="234">
        <v>12</v>
      </c>
      <c r="N76" s="235">
        <v>61</v>
      </c>
      <c r="O76" s="124"/>
      <c r="P76" s="236"/>
    </row>
    <row r="77" spans="11:16" ht="13.5" customHeight="1">
      <c r="K77" s="239">
        <v>137</v>
      </c>
      <c r="L77" s="233">
        <v>61</v>
      </c>
      <c r="M77" s="234">
        <v>112</v>
      </c>
      <c r="N77" s="235">
        <v>264</v>
      </c>
      <c r="O77" s="124"/>
      <c r="P77" s="236"/>
    </row>
    <row r="78" spans="11:16" ht="13.5" customHeight="1">
      <c r="K78" s="239">
        <v>762</v>
      </c>
      <c r="L78" s="233">
        <v>248</v>
      </c>
      <c r="M78" s="234">
        <v>164</v>
      </c>
      <c r="N78" s="235">
        <v>242</v>
      </c>
      <c r="O78" s="236"/>
      <c r="P78" s="236"/>
    </row>
    <row r="79" spans="11:16" ht="13.5" customHeight="1">
      <c r="K79" s="239">
        <v>147</v>
      </c>
      <c r="L79" s="233">
        <v>0</v>
      </c>
      <c r="M79" s="234">
        <v>0</v>
      </c>
      <c r="N79" s="235">
        <v>0</v>
      </c>
      <c r="O79" s="124"/>
      <c r="P79" s="236"/>
    </row>
    <row r="80" spans="11:16" ht="13.5" customHeight="1">
      <c r="K80" s="240" t="s">
        <v>21</v>
      </c>
      <c r="L80" s="233">
        <v>96</v>
      </c>
      <c r="M80" s="234">
        <v>92</v>
      </c>
      <c r="N80" s="235">
        <v>144</v>
      </c>
      <c r="O80" s="236"/>
      <c r="P80" s="236"/>
    </row>
    <row r="81" spans="11:16" ht="13.5" customHeight="1">
      <c r="K81" s="241" t="s">
        <v>22</v>
      </c>
      <c r="L81" s="233">
        <v>0</v>
      </c>
      <c r="M81" s="234">
        <v>0</v>
      </c>
      <c r="N81" s="235">
        <v>0</v>
      </c>
      <c r="O81" s="236"/>
      <c r="P81" s="236"/>
    </row>
    <row r="82" spans="11:16" ht="13.5" customHeight="1">
      <c r="K82" s="239">
        <v>984</v>
      </c>
      <c r="L82" s="233">
        <v>93</v>
      </c>
      <c r="M82" s="234">
        <v>144</v>
      </c>
      <c r="N82" s="235">
        <v>0</v>
      </c>
      <c r="O82" s="124"/>
      <c r="P82" s="236"/>
    </row>
    <row r="83" spans="11:16" ht="13.5" customHeight="1">
      <c r="K83" s="239">
        <v>557</v>
      </c>
      <c r="L83" s="233">
        <v>0</v>
      </c>
      <c r="M83" s="234">
        <v>0</v>
      </c>
      <c r="N83" s="235">
        <v>23</v>
      </c>
      <c r="O83" s="124"/>
      <c r="P83" s="236"/>
    </row>
    <row r="84" spans="11:16" ht="13.5" customHeight="1">
      <c r="K84" s="242" t="s">
        <v>23</v>
      </c>
      <c r="L84" s="212">
        <v>380</v>
      </c>
      <c r="M84" s="234">
        <v>105</v>
      </c>
      <c r="N84" s="235">
        <v>611</v>
      </c>
      <c r="O84" s="236"/>
      <c r="P84" s="236"/>
    </row>
    <row r="85" spans="11:16" ht="13.5" customHeight="1">
      <c r="K85" s="242" t="s">
        <v>24</v>
      </c>
      <c r="L85" s="233">
        <v>214</v>
      </c>
      <c r="M85" s="234">
        <v>392</v>
      </c>
      <c r="N85" s="235">
        <v>119</v>
      </c>
      <c r="O85" s="236"/>
      <c r="P85" s="236"/>
    </row>
    <row r="86" spans="11:16" ht="13.5" customHeight="1">
      <c r="K86" s="243" t="s">
        <v>25</v>
      </c>
      <c r="L86" s="233">
        <v>332</v>
      </c>
      <c r="M86" s="234">
        <v>164</v>
      </c>
      <c r="N86" s="235">
        <v>172</v>
      </c>
      <c r="O86" s="236"/>
      <c r="P86" s="236"/>
    </row>
    <row r="87" spans="11:16" ht="13.5" customHeight="1">
      <c r="K87" s="243" t="s">
        <v>26</v>
      </c>
      <c r="L87" s="233">
        <v>0</v>
      </c>
      <c r="M87" s="234">
        <v>0</v>
      </c>
      <c r="N87" s="235">
        <v>145</v>
      </c>
      <c r="O87" s="124"/>
      <c r="P87" s="236"/>
    </row>
    <row r="88" spans="11:16" ht="13.5" customHeight="1">
      <c r="K88" s="243" t="s">
        <v>27</v>
      </c>
      <c r="L88" s="233">
        <v>0</v>
      </c>
      <c r="M88" s="234">
        <v>0</v>
      </c>
      <c r="N88" s="235">
        <v>297</v>
      </c>
      <c r="O88" s="236"/>
      <c r="P88" s="236"/>
    </row>
    <row r="89" spans="11:16" ht="13.5" customHeight="1">
      <c r="K89" s="243" t="s">
        <v>133</v>
      </c>
      <c r="L89" s="212">
        <v>0</v>
      </c>
      <c r="M89" s="244">
        <v>0</v>
      </c>
      <c r="N89" s="235">
        <v>44</v>
      </c>
      <c r="O89" s="236"/>
      <c r="P89" s="236"/>
    </row>
    <row r="90" spans="11:14" ht="13.5" customHeight="1">
      <c r="K90" s="245" t="s">
        <v>28</v>
      </c>
      <c r="L90" s="246">
        <v>420</v>
      </c>
      <c r="M90" s="247">
        <v>1018</v>
      </c>
      <c r="N90" s="248">
        <v>1000</v>
      </c>
    </row>
    <row r="91" spans="11:14" ht="13.5" customHeight="1">
      <c r="K91" s="169" t="s">
        <v>141</v>
      </c>
      <c r="L91" s="219">
        <f t="shared" si="30" ref="L91:N91">SUM(L65,L66,L67,L72)</f>
        <v>472</v>
      </c>
      <c r="M91" s="219">
        <f t="shared" si="30"/>
        <v>366</v>
      </c>
      <c r="N91" s="219">
        <f t="shared" si="30"/>
        <v>364</v>
      </c>
    </row>
    <row r="92" spans="11:14" ht="13.5" customHeight="1">
      <c r="K92" s="169" t="s">
        <v>142</v>
      </c>
      <c r="L92" s="219">
        <f t="shared" si="31" ref="L92:N92">SUM(L69,L71)</f>
        <v>219</v>
      </c>
      <c r="M92" s="219">
        <f t="shared" si="31"/>
        <v>139</v>
      </c>
      <c r="N92" s="219">
        <f t="shared" si="31"/>
        <v>463</v>
      </c>
    </row>
    <row r="93" spans="11:14" ht="13.5" customHeight="1">
      <c r="K93" s="169" t="s">
        <v>143</v>
      </c>
      <c r="L93" s="219">
        <f t="shared" si="32" ref="L93:N93">SUM(L84:L85)</f>
        <v>594</v>
      </c>
      <c r="M93" s="219">
        <f t="shared" si="32"/>
        <v>497</v>
      </c>
      <c r="N93" s="219">
        <f t="shared" si="32"/>
        <v>730</v>
      </c>
    </row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</sheetData>
  <mergeCells count="5">
    <mergeCell ref="C27:E28"/>
    <mergeCell ref="L27:N28"/>
    <mergeCell ref="T27:V28"/>
    <mergeCell ref="C58:E59"/>
    <mergeCell ref="L58:N59"/>
  </mergeCells>
  <pageMargins left="0.7" right="0.7" top="0.75" bottom="0.75" header="0" footer="0"/>
  <pageSetup orientation="portrait" paperSize="9"/>
  <drawing r:id="rId4"/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ריכוז גדודי</vt:lpstr>
      <vt:lpstr> תחמושת סוללה א</vt:lpstr>
      <vt:lpstr>תמחושת סוללה ב</vt:lpstr>
      <vt:lpstr> יחמור ג</vt:lpstr>
      <vt:lpstr>קישור לגוגל פורמז - אגמי </vt:lpstr>
      <vt:lpstr> - אלקוש ג</vt:lpstr>
      <vt:lpstr>צילומי מסך</vt:lpstr>
      <vt:lpstr>עותק של ריכוז גדודי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2025-05-15T17:35:04Z</dcterms:created>
  <cp:category/>
</cp:coreProperties>
</file>